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Milestones" sheetId="2" state="visible" r:id="rId2"/>
    <sheet name="Team" sheetId="3" state="visible" r:id="rId3"/>
  </sheets>
  <definedNames>
    <definedName name="_xlnm._FilterDatabase" localSheetId="0" hidden="1">'Tasks'!$A$4:$I$22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0000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1" pivotButton="0" quotePrefix="0" xfId="0"/>
    <xf numFmtId="0" fontId="7" fillId="0" borderId="0" pivotButton="0" quotePrefix="0" xfId="0"/>
    <xf numFmtId="0" fontId="7" fillId="0" borderId="1" pivotButton="0" quotePrefix="0" xfId="0"/>
    <xf numFmtId="9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G4" authorId="0" shapeId="0">
      <text>
        <t>Build window Sat 26 Sep 13:00 → Sun 27 Sep 08:30 CEST; submit by 08:00. Times after midnight are Sunday. Targets are my proposal — adjust.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70" customWidth="1" min="4" max="4"/>
    <col width="15" customWidth="1" min="5" max="5"/>
    <col width="14" customWidth="1" min="6" max="6"/>
    <col width="14" customWidth="1" min="7" max="7"/>
    <col width="11" customWidth="1" min="8" max="8"/>
    <col width="40" customWidth="1" min="9" max="9"/>
  </cols>
  <sheetData>
    <row r="1">
      <c r="A1" s="1" t="inlineStr">
        <is>
          <t>Orchestra — HACK_002 Task Tracker</t>
        </is>
      </c>
    </row>
    <row r="2">
      <c r="A2" s="2" t="inlineStr">
        <is>
          <t>Edit only the yellow columns (Owner, Status, Notes). Status &amp; Owner are dropdowns. Row turns green when Completed, red when Blocked.</t>
        </is>
      </c>
    </row>
    <row r="4">
      <c r="A4" s="3" t="inlineStr">
        <is>
          <t>ID</t>
        </is>
      </c>
      <c r="B4" s="3" t="inlineStr">
        <is>
          <t>Milestone</t>
        </is>
      </c>
      <c r="C4" s="3" t="inlineStr">
        <is>
          <t>Area</t>
        </is>
      </c>
      <c r="D4" s="3" t="inlineStr">
        <is>
          <t>Task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Target (CEST)</t>
        </is>
      </c>
      <c r="H4" s="3" t="inlineStr">
        <is>
          <t>Plan ref</t>
        </is>
      </c>
      <c r="I4" s="3" t="inlineStr">
        <is>
          <t>Notes / blocker</t>
        </is>
      </c>
    </row>
    <row r="5">
      <c r="A5" s="4" t="inlineStr">
        <is>
          <t>T01</t>
        </is>
      </c>
      <c r="B5" s="4" t="inlineStr">
        <is>
          <t>M0</t>
        </is>
      </c>
      <c r="C5" s="4" t="inlineStr">
        <is>
          <t>Docs</t>
        </is>
      </c>
      <c r="D5" s="4" t="inlineStr">
        <is>
          <t>MVP plan + Lovable plan written, reviewed, merged</t>
        </is>
      </c>
      <c r="E5" s="5" t="inlineStr">
        <is>
          <t>Omar</t>
        </is>
      </c>
      <c r="F5" s="5" t="inlineStr">
        <is>
          <t>Completed</t>
        </is>
      </c>
      <c r="G5" s="4" t="inlineStr">
        <is>
          <t>20:30</t>
        </is>
      </c>
      <c r="H5" s="4" t="inlineStr">
        <is>
          <t>MVP_PLAN</t>
        </is>
      </c>
      <c r="I5" s="5" t="inlineStr"/>
    </row>
    <row r="6">
      <c r="A6" s="4" t="inlineStr">
        <is>
          <t>T02</t>
        </is>
      </c>
      <c r="B6" s="4" t="inlineStr">
        <is>
          <t>M1</t>
        </is>
      </c>
      <c r="C6" s="4" t="inlineStr">
        <is>
          <t>Backend</t>
        </is>
      </c>
      <c r="D6" s="4" t="inlineStr">
        <is>
          <t>New schema, 3-layer visibility rule, login + agent keys</t>
        </is>
      </c>
      <c r="E6" s="5" t="inlineStr">
        <is>
          <t>Omar</t>
        </is>
      </c>
      <c r="F6" s="5" t="inlineStr">
        <is>
          <t>Not started</t>
        </is>
      </c>
      <c r="G6" s="4" t="inlineStr">
        <is>
          <t>21:00</t>
        </is>
      </c>
      <c r="H6" s="4" t="inlineStr">
        <is>
          <t>MVP_PLAN</t>
        </is>
      </c>
      <c r="I6" s="5" t="inlineStr"/>
    </row>
    <row r="7">
      <c r="A7" s="4" t="inlineStr">
        <is>
          <t>T03</t>
        </is>
      </c>
      <c r="B7" s="4" t="inlineStr">
        <is>
          <t>M1</t>
        </is>
      </c>
      <c r="C7" s="4" t="inlineStr">
        <is>
          <t>Backend</t>
        </is>
      </c>
      <c r="D7" s="4" t="inlineStr">
        <is>
          <t>REST endpoints exactly matching LOVABLE_PLAN §4 (filters, review_queue, graph)</t>
        </is>
      </c>
      <c r="E7" s="5" t="inlineStr">
        <is>
          <t>Omar</t>
        </is>
      </c>
      <c r="F7" s="5" t="inlineStr">
        <is>
          <t>Not started</t>
        </is>
      </c>
      <c r="G7" s="4" t="inlineStr">
        <is>
          <t>21:30</t>
        </is>
      </c>
      <c r="H7" s="4" t="inlineStr">
        <is>
          <t>LOVABLE §4</t>
        </is>
      </c>
      <c r="I7" s="5" t="inlineStr"/>
    </row>
    <row r="8">
      <c r="A8" s="4" t="inlineStr">
        <is>
          <t>T04</t>
        </is>
      </c>
      <c r="B8" s="4" t="inlineStr">
        <is>
          <t>M1</t>
        </is>
      </c>
      <c r="C8" s="4" t="inlineStr">
        <is>
          <t>Backend</t>
        </is>
      </c>
      <c r="D8" s="4" t="inlineStr">
        <is>
          <t>MCP tools: start/report/attach/submit, live agent presence, mention extraction</t>
        </is>
      </c>
      <c r="E8" s="5" t="inlineStr">
        <is>
          <t>Omar</t>
        </is>
      </c>
      <c r="F8" s="5" t="inlineStr">
        <is>
          <t>Not started</t>
        </is>
      </c>
      <c r="G8" s="4" t="inlineStr">
        <is>
          <t>22:00</t>
        </is>
      </c>
      <c r="H8" s="4" t="inlineStr">
        <is>
          <t>MVP_PLAN</t>
        </is>
      </c>
      <c r="I8" s="5" t="inlineStr"/>
    </row>
    <row r="9">
      <c r="A9" s="4" t="inlineStr">
        <is>
          <t>T05</t>
        </is>
      </c>
      <c r="B9" s="4" t="inlineStr">
        <is>
          <t>M1</t>
        </is>
      </c>
      <c r="C9" s="4" t="inlineStr">
        <is>
          <t>Backend</t>
        </is>
      </c>
      <c r="D9" s="4" t="inlineStr">
        <is>
          <t>Seed: Northwind project matching LOVABLE §7 (deps, mentions, live tasks)</t>
        </is>
      </c>
      <c r="E9" s="5" t="inlineStr">
        <is>
          <t>Hassan</t>
        </is>
      </c>
      <c r="F9" s="5" t="inlineStr">
        <is>
          <t>Completed</t>
        </is>
      </c>
      <c r="G9" s="4" t="inlineStr">
        <is>
          <t>21:30</t>
        </is>
      </c>
      <c r="H9" s="4" t="inlineStr">
        <is>
          <t>LOVABLE §7</t>
        </is>
      </c>
      <c r="I9" s="5" t="inlineStr">
        <is>
          <t>northwind.json polished: every task has a description + scope, fuller KB docs, 12 mention links in the graph, one believable overdue task (T-2).</t>
        </is>
      </c>
    </row>
    <row r="10">
      <c r="A10" s="4" t="inlineStr">
        <is>
          <t>T06</t>
        </is>
      </c>
      <c r="B10" s="4" t="inlineStr">
        <is>
          <t>M1</t>
        </is>
      </c>
      <c r="C10" s="4" t="inlineStr">
        <is>
          <t>Backend</t>
        </is>
      </c>
      <c r="D10" s="4" t="inlineStr">
        <is>
          <t>Webhooks on task events (open-source integration story)</t>
        </is>
      </c>
      <c r="E10" s="5" t="inlineStr">
        <is>
          <t>Hassan</t>
        </is>
      </c>
      <c r="F10" s="5" t="inlineStr">
        <is>
          <t>Completed</t>
        </is>
      </c>
      <c r="G10" s="4" t="inlineStr">
        <is>
          <t>22:00</t>
        </is>
      </c>
      <c r="H10" s="4" t="inlineStr">
        <is>
          <t>MVP_PLAN</t>
        </is>
      </c>
      <c r="I10" s="5" t="inlineStr">
        <is>
          <t>Built in the backend rewrite: server/src/webhooks.ts, POST /api/webhooks (PM). Covered by api.test.ts.</t>
        </is>
      </c>
    </row>
    <row r="11">
      <c r="A11" s="4" t="inlineStr">
        <is>
          <t>T07</t>
        </is>
      </c>
      <c r="B11" s="4" t="inlineStr">
        <is>
          <t>M1</t>
        </is>
      </c>
      <c r="C11" s="4" t="inlineStr">
        <is>
          <t>Backend</t>
        </is>
      </c>
      <c r="D11" s="4" t="inlineStr">
        <is>
          <t>npm run sim: simulated agents John/Priya/Mia via real MCP</t>
        </is>
      </c>
      <c r="E11" s="5" t="inlineStr">
        <is>
          <t>Hassan</t>
        </is>
      </c>
      <c r="F11" s="5" t="inlineStr">
        <is>
          <t>Completed</t>
        </is>
      </c>
      <c r="G11" s="4" t="inlineStr">
        <is>
          <t>22:30</t>
        </is>
      </c>
      <c r="H11" s="4" t="inlineStr">
        <is>
          <t>MVP_PLAN</t>
        </is>
      </c>
      <c r="I11" s="5" t="inlineStr">
        <is>
          <t>PR #6 merged. npm run sim (-- --reset). Agent scripts: server/sim/stories/northwind.json. Works hosted (--url) and with random keys.</t>
        </is>
      </c>
    </row>
    <row r="12">
      <c r="A12" s="4" t="inlineStr">
        <is>
          <t>T08</t>
        </is>
      </c>
      <c r="B12" s="4" t="inlineStr">
        <is>
          <t>M2</t>
        </is>
      </c>
      <c r="C12" s="4" t="inlineStr">
        <is>
          <t>Frontend</t>
        </is>
      </c>
      <c r="D12" s="4" t="inlineStr">
        <is>
          <t>Paste LOVABLE_PLAN into Lovable; shell, routes, login, mock mode</t>
        </is>
      </c>
      <c r="E12" s="5" t="inlineStr">
        <is>
          <t>Saad</t>
        </is>
      </c>
      <c r="F12" s="5" t="inlineStr">
        <is>
          <t>Not started</t>
        </is>
      </c>
      <c r="G12" s="4" t="inlineStr">
        <is>
          <t>20:45</t>
        </is>
      </c>
      <c r="H12" s="4" t="inlineStr">
        <is>
          <t>LOVABLE §10</t>
        </is>
      </c>
      <c r="I12" s="5" t="inlineStr"/>
    </row>
    <row r="13">
      <c r="A13" s="4" t="inlineStr">
        <is>
          <t>T09</t>
        </is>
      </c>
      <c r="B13" s="4" t="inlineStr">
        <is>
          <t>M2</t>
        </is>
      </c>
      <c r="C13" s="4" t="inlineStr">
        <is>
          <t>Frontend</t>
        </is>
      </c>
      <c r="D13" s="4" t="inlineStr">
        <is>
          <t>Board + task drawer (timeline, markdown, artifacts)</t>
        </is>
      </c>
      <c r="E13" s="5" t="inlineStr">
        <is>
          <t>Saad</t>
        </is>
      </c>
      <c r="F13" s="5" t="inlineStr">
        <is>
          <t>Not started</t>
        </is>
      </c>
      <c r="G13" s="4" t="inlineStr">
        <is>
          <t>21:30</t>
        </is>
      </c>
      <c r="H13" s="4" t="inlineStr">
        <is>
          <t>LOVABLE §5</t>
        </is>
      </c>
      <c r="I13" s="5" t="inlineStr"/>
    </row>
    <row r="14">
      <c r="A14" s="4" t="inlineStr">
        <is>
          <t>T10</t>
        </is>
      </c>
      <c r="B14" s="4" t="inlineStr">
        <is>
          <t>M2</t>
        </is>
      </c>
      <c r="C14" s="4" t="inlineStr">
        <is>
          <t>Frontend</t>
        </is>
      </c>
      <c r="D14" s="4" t="inlineStr">
        <is>
          <t>PM graph (react-force-graph-2d) with buildGraph() mock</t>
        </is>
      </c>
      <c r="E14" s="5" t="inlineStr">
        <is>
          <t>Saad</t>
        </is>
      </c>
      <c r="F14" s="5" t="inlineStr">
        <is>
          <t>Not started</t>
        </is>
      </c>
      <c r="G14" s="4" t="inlineStr">
        <is>
          <t>22:00</t>
        </is>
      </c>
      <c r="H14" s="4" t="inlineStr">
        <is>
          <t>LOVABLE §6</t>
        </is>
      </c>
      <c r="I14" s="5" t="inlineStr"/>
    </row>
    <row r="15">
      <c r="A15" s="4" t="inlineStr">
        <is>
          <t>T11</t>
        </is>
      </c>
      <c r="B15" s="4" t="inlineStr">
        <is>
          <t>M2</t>
        </is>
      </c>
      <c r="C15" s="4" t="inlineStr">
        <is>
          <t>Frontend</t>
        </is>
      </c>
      <c r="D15" s="4" t="inlineStr">
        <is>
          <t>Activity, Knowledge, Review, Live agents rail</t>
        </is>
      </c>
      <c r="E15" s="5" t="inlineStr">
        <is>
          <t>Saad</t>
        </is>
      </c>
      <c r="F15" s="5" t="inlineStr">
        <is>
          <t>Not started</t>
        </is>
      </c>
      <c r="G15" s="4" t="inlineStr">
        <is>
          <t>22:00</t>
        </is>
      </c>
      <c r="H15" s="4" t="inlineStr">
        <is>
          <t>LOVABLE §5</t>
        </is>
      </c>
      <c r="I15" s="5" t="inlineStr"/>
    </row>
    <row r="16">
      <c r="A16" s="4" t="inlineStr">
        <is>
          <t>T12</t>
        </is>
      </c>
      <c r="B16" s="4" t="inlineStr">
        <is>
          <t>M3</t>
        </is>
      </c>
      <c r="C16" s="4" t="inlineStr">
        <is>
          <t>Integration</t>
        </is>
      </c>
      <c r="D16" s="4" t="inlineStr">
        <is>
          <t>Switch UI to LIVE; fix contract mismatches</t>
        </is>
      </c>
      <c r="E16" s="5" t="inlineStr">
        <is>
          <t>Omar</t>
        </is>
      </c>
      <c r="F16" s="5" t="inlineStr">
        <is>
          <t>Not started</t>
        </is>
      </c>
      <c r="G16" s="4" t="inlineStr">
        <is>
          <t>23:30</t>
        </is>
      </c>
      <c r="H16" s="4" t="inlineStr">
        <is>
          <t>LOVABLE §4</t>
        </is>
      </c>
      <c r="I16" s="5" t="inlineStr"/>
    </row>
    <row r="17">
      <c r="A17" s="4" t="inlineStr">
        <is>
          <t>T13</t>
        </is>
      </c>
      <c r="B17" s="4" t="inlineStr">
        <is>
          <t>M3</t>
        </is>
      </c>
      <c r="C17" s="4" t="inlineStr">
        <is>
          <t>Integration</t>
        </is>
      </c>
      <c r="D17" s="4" t="inlineStr">
        <is>
          <t>Connect Claude Code as a junior agent; run a task end-to-end</t>
        </is>
      </c>
      <c r="E17" s="5" t="inlineStr">
        <is>
          <t>Omar</t>
        </is>
      </c>
      <c r="F17" s="5" t="inlineStr">
        <is>
          <t>Not started</t>
        </is>
      </c>
      <c r="G17" s="4" t="inlineStr">
        <is>
          <t>00:00</t>
        </is>
      </c>
      <c r="H17" s="4" t="inlineStr"/>
      <c r="I17" s="5" t="inlineStr"/>
    </row>
    <row r="18">
      <c r="A18" s="4" t="inlineStr">
        <is>
          <t>T14</t>
        </is>
      </c>
      <c r="B18" s="4" t="inlineStr">
        <is>
          <t>M3</t>
        </is>
      </c>
      <c r="C18" s="4" t="inlineStr">
        <is>
          <t>Integration</t>
        </is>
      </c>
      <c r="D18" s="4" t="inlineStr">
        <is>
          <t>Sim agents + real Claude Code agent together on the shared server (no staged refusal: team decision)</t>
        </is>
      </c>
      <c r="E18" s="5" t="inlineStr">
        <is>
          <t>Hassan</t>
        </is>
      </c>
      <c r="F18" s="5" t="inlineStr">
        <is>
          <t>Not started</t>
        </is>
      </c>
      <c r="G18" s="4" t="inlineStr">
        <is>
          <t>00:30</t>
        </is>
      </c>
      <c r="H18" s="4" t="inlineStr"/>
      <c r="I18" s="5" t="inlineStr"/>
    </row>
    <row r="19">
      <c r="A19" s="4" t="inlineStr">
        <is>
          <t>T15</t>
        </is>
      </c>
      <c r="B19" s="4" t="inlineStr">
        <is>
          <t>M4</t>
        </is>
      </c>
      <c r="C19" s="4" t="inlineStr">
        <is>
          <t>QA</t>
        </is>
      </c>
      <c r="D19" s="4" t="inlineStr">
        <is>
          <t>Acceptance checklist (LOVABLE §9) 3x after reset</t>
        </is>
      </c>
      <c r="E19" s="5" t="inlineStr">
        <is>
          <t>All</t>
        </is>
      </c>
      <c r="F19" s="5" t="inlineStr">
        <is>
          <t>Not started</t>
        </is>
      </c>
      <c r="G19" s="4" t="inlineStr">
        <is>
          <t>02:00</t>
        </is>
      </c>
      <c r="H19" s="4" t="inlineStr">
        <is>
          <t>LOVABLE §9</t>
        </is>
      </c>
      <c r="I19" s="5" t="inlineStr"/>
    </row>
    <row r="20">
      <c r="A20" s="4" t="inlineStr">
        <is>
          <t>T16</t>
        </is>
      </c>
      <c r="B20" s="4" t="inlineStr">
        <is>
          <t>M4</t>
        </is>
      </c>
      <c r="C20" s="4" t="inlineStr">
        <is>
          <t>Docs</t>
        </is>
      </c>
      <c r="D20" s="4" t="inlineStr">
        <is>
          <t>README: pitch, run steps, open source + integrations</t>
        </is>
      </c>
      <c r="E20" s="5" t="inlineStr">
        <is>
          <t>Hassan</t>
        </is>
      </c>
      <c r="F20" s="5" t="inlineStr">
        <is>
          <t>Not started</t>
        </is>
      </c>
      <c r="G20" s="4" t="inlineStr">
        <is>
          <t>02:00</t>
        </is>
      </c>
      <c r="H20" s="4" t="inlineStr"/>
      <c r="I20" s="5" t="inlineStr">
        <is>
          <t>Simulated agents section added (PR #6). Pitch + integrations still to do.</t>
        </is>
      </c>
    </row>
    <row r="21">
      <c r="A21" s="4" t="inlineStr">
        <is>
          <t>T17</t>
        </is>
      </c>
      <c r="B21" s="4" t="inlineStr">
        <is>
          <t>M5</t>
        </is>
      </c>
      <c r="C21" s="4" t="inlineStr">
        <is>
          <t>Demo</t>
        </is>
      </c>
      <c r="D21" s="4" t="inlineStr">
        <is>
          <t>Record 2-min video</t>
        </is>
      </c>
      <c r="E21" s="5" t="inlineStr">
        <is>
          <t>All</t>
        </is>
      </c>
      <c r="F21" s="5" t="inlineStr">
        <is>
          <t>Not started</t>
        </is>
      </c>
      <c r="G21" s="4" t="inlineStr">
        <is>
          <t>07:00</t>
        </is>
      </c>
      <c r="H21" s="4" t="inlineStr"/>
      <c r="I21" s="5" t="inlineStr"/>
    </row>
    <row r="22">
      <c r="A22" s="4" t="inlineStr">
        <is>
          <t>T18</t>
        </is>
      </c>
      <c r="B22" s="4" t="inlineStr">
        <is>
          <t>M5</t>
        </is>
      </c>
      <c r="C22" s="4" t="inlineStr">
        <is>
          <t>Submission</t>
        </is>
      </c>
      <c r="D22" s="4" t="inlineStr">
        <is>
          <t>ZIP repo + submit form</t>
        </is>
      </c>
      <c r="E22" s="5" t="inlineStr">
        <is>
          <t>Omar</t>
        </is>
      </c>
      <c r="F22" s="5" t="inlineStr">
        <is>
          <t>Not started</t>
        </is>
      </c>
      <c r="G22" s="4" t="inlineStr">
        <is>
          <t>07:30</t>
        </is>
      </c>
      <c r="H22" s="4" t="inlineStr"/>
      <c r="I22" s="5" t="inlineStr"/>
    </row>
  </sheetData>
  <autoFilter ref="A4:I22"/>
  <conditionalFormatting sqref="A5:I52">
    <cfRule type="expression" priority="1" dxfId="0">
      <formula>$F5="Completed"</formula>
    </cfRule>
    <cfRule type="expression" priority="2" dxfId="1">
      <formula>$F5="Blocked"</formula>
    </cfRule>
    <cfRule type="expression" priority="3" dxfId="2">
      <formula>$F5="In progress"</formula>
    </cfRule>
  </conditionalFormatting>
  <dataValidations count="2">
    <dataValidation sqref="F5:F52" showDropDown="0" showInputMessage="0" showErrorMessage="0" allowBlank="0" type="list">
      <formula1>"Not started,In progress,Blocked,Completed"</formula1>
    </dataValidation>
    <dataValidation sqref="E5:E52" showDropDown="0" showInputMessage="0" showErrorMessage="0" allowBlank="1" type="list">
      <formula1>"Omar,Hassan,Saad,All"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7" customWidth="1" min="3" max="3"/>
    <col width="60" customWidth="1" min="4" max="4"/>
    <col width="8" customWidth="1" min="5" max="5"/>
    <col width="11" customWidth="1" min="6" max="6"/>
    <col width="11" customWidth="1" min="7" max="7"/>
    <col width="9" customWidth="1" min="8" max="8"/>
    <col width="9" customWidth="1" min="9" max="9"/>
    <col width="14" customWidth="1" min="10" max="10"/>
  </cols>
  <sheetData>
    <row r="1">
      <c r="A1" s="1" t="inlineStr">
        <is>
          <t>Milestones</t>
        </is>
      </c>
    </row>
    <row r="2">
      <c r="A2" s="2" t="inlineStr">
        <is>
          <t>Progress columns are formulas driven by the Tasks sheet — do not edit them.</t>
        </is>
      </c>
    </row>
    <row r="4">
      <c r="A4" s="3" t="inlineStr">
        <is>
          <t>ID</t>
        </is>
      </c>
      <c r="B4" s="3" t="inlineStr">
        <is>
          <t>Milestone</t>
        </is>
      </c>
      <c r="C4" s="3" t="inlineStr">
        <is>
          <t>Deadline (CEST)</t>
        </is>
      </c>
      <c r="D4" s="3" t="inlineStr">
        <is>
          <t>Done when…</t>
        </is>
      </c>
      <c r="E4" s="3" t="inlineStr">
        <is>
          <t>Tasks</t>
        </is>
      </c>
      <c r="F4" s="3" t="inlineStr">
        <is>
          <t>Completed</t>
        </is>
      </c>
      <c r="G4" s="3" t="inlineStr">
        <is>
          <t>In progress</t>
        </is>
      </c>
      <c r="H4" s="3" t="inlineStr">
        <is>
          <t>Blocked</t>
        </is>
      </c>
      <c r="I4" s="3" t="inlineStr">
        <is>
          <t>% done</t>
        </is>
      </c>
      <c r="J4" s="3" t="inlineStr">
        <is>
          <t>Status</t>
        </is>
      </c>
    </row>
    <row r="5">
      <c r="A5" s="4" t="inlineStr">
        <is>
          <t>M0</t>
        </is>
      </c>
      <c r="B5" s="4" t="inlineStr">
        <is>
          <t>Plans agreed + merged</t>
        </is>
      </c>
      <c r="C5" s="4" t="inlineStr">
        <is>
          <t>Sat 26 Sep 20:30</t>
        </is>
      </c>
      <c r="D5" s="4" t="inlineStr">
        <is>
          <t>MVP_PLAN + LOVABLE_PLAN on main</t>
        </is>
      </c>
      <c r="E5" s="4">
        <f>COUNTIF(Tasks!$B$5:$B$52,A5)</f>
        <v/>
      </c>
      <c r="F5" s="4">
        <f>COUNTIFS(Tasks!$B$5:$B$52,A5,Tasks!$F$5:$F$52,"Completed")</f>
        <v/>
      </c>
      <c r="G5" s="4">
        <f>COUNTIFS(Tasks!$B$5:$B$52,A5,Tasks!$F$5:$F$52,"In progress")</f>
        <v/>
      </c>
      <c r="H5" s="4">
        <f>COUNTIFS(Tasks!$B$5:$B$52,A5,Tasks!$F$5:$F$52,"Blocked")</f>
        <v/>
      </c>
      <c r="I5" s="6">
        <f>IF(E5=0,0,F5/E5)</f>
        <v/>
      </c>
      <c r="J5" s="4">
        <f>IF(E5=0,"-",IF(F5=E5,"Completed",IF(H5&gt;0,"Blocked",IF(F5+G5&gt;0,"In progress","Not started"))))</f>
        <v/>
      </c>
    </row>
    <row r="6">
      <c r="A6" s="4" t="inlineStr">
        <is>
          <t>M1</t>
        </is>
      </c>
      <c r="B6" s="4" t="inlineStr">
        <is>
          <t>Backend v1 matches LOVABLE_PLAN</t>
        </is>
      </c>
      <c r="C6" s="4" t="inlineStr">
        <is>
          <t>Sat 26 Sep 22:00</t>
        </is>
      </c>
      <c r="D6" s="4" t="inlineStr">
        <is>
          <t>All endpoints + MCP tools + tests green</t>
        </is>
      </c>
      <c r="E6" s="4">
        <f>COUNTIF(Tasks!$B$5:$B$52,A6)</f>
        <v/>
      </c>
      <c r="F6" s="4">
        <f>COUNTIFS(Tasks!$B$5:$B$52,A6,Tasks!$F$5:$F$52,"Completed")</f>
        <v/>
      </c>
      <c r="G6" s="4">
        <f>COUNTIFS(Tasks!$B$5:$B$52,A6,Tasks!$F$5:$F$52,"In progress")</f>
        <v/>
      </c>
      <c r="H6" s="4">
        <f>COUNTIFS(Tasks!$B$5:$B$52,A6,Tasks!$F$5:$F$52,"Blocked")</f>
        <v/>
      </c>
      <c r="I6" s="6">
        <f>IF(E6=0,0,F6/E6)</f>
        <v/>
      </c>
      <c r="J6" s="4">
        <f>IF(E6=0,"-",IF(F6=E6,"Completed",IF(H6&gt;0,"Blocked",IF(F6+G6&gt;0,"In progress","Not started"))))</f>
        <v/>
      </c>
    </row>
    <row r="7">
      <c r="A7" s="4" t="inlineStr">
        <is>
          <t>M2</t>
        </is>
      </c>
      <c r="B7" s="4" t="inlineStr">
        <is>
          <t>UI on mock data</t>
        </is>
      </c>
      <c r="C7" s="4" t="inlineStr">
        <is>
          <t>Sat 26 Sep 22:00</t>
        </is>
      </c>
      <c r="D7" s="4" t="inlineStr">
        <is>
          <t>All Lovable screens work in MOCK mode</t>
        </is>
      </c>
      <c r="E7" s="4">
        <f>COUNTIF(Tasks!$B$5:$B$52,A7)</f>
        <v/>
      </c>
      <c r="F7" s="4">
        <f>COUNTIFS(Tasks!$B$5:$B$52,A7,Tasks!$F$5:$F$52,"Completed")</f>
        <v/>
      </c>
      <c r="G7" s="4">
        <f>COUNTIFS(Tasks!$B$5:$B$52,A7,Tasks!$F$5:$F$52,"In progress")</f>
        <v/>
      </c>
      <c r="H7" s="4">
        <f>COUNTIFS(Tasks!$B$5:$B$52,A7,Tasks!$F$5:$F$52,"Blocked")</f>
        <v/>
      </c>
      <c r="I7" s="6">
        <f>IF(E7=0,0,F7/E7)</f>
        <v/>
      </c>
      <c r="J7" s="4">
        <f>IF(E7=0,"-",IF(F7=E7,"Completed",IF(H7&gt;0,"Blocked",IF(F7+G7&gt;0,"In progress","Not started"))))</f>
        <v/>
      </c>
    </row>
    <row r="8">
      <c r="A8" s="4" t="inlineStr">
        <is>
          <t>M3</t>
        </is>
      </c>
      <c r="B8" s="4" t="inlineStr">
        <is>
          <t>LIVE end-to-end</t>
        </is>
      </c>
      <c r="C8" s="4" t="inlineStr">
        <is>
          <t>Sun 27 Sep 00:30</t>
        </is>
      </c>
      <c r="D8" s="4" t="inlineStr">
        <is>
          <t>UI on real API; sim agents + Claude Code agent visible live</t>
        </is>
      </c>
      <c r="E8" s="4">
        <f>COUNTIF(Tasks!$B$5:$B$52,A8)</f>
        <v/>
      </c>
      <c r="F8" s="4">
        <f>COUNTIFS(Tasks!$B$5:$B$52,A8,Tasks!$F$5:$F$52,"Completed")</f>
        <v/>
      </c>
      <c r="G8" s="4">
        <f>COUNTIFS(Tasks!$B$5:$B$52,A8,Tasks!$F$5:$F$52,"In progress")</f>
        <v/>
      </c>
      <c r="H8" s="4">
        <f>COUNTIFS(Tasks!$B$5:$B$52,A8,Tasks!$F$5:$F$52,"Blocked")</f>
        <v/>
      </c>
      <c r="I8" s="6">
        <f>IF(E8=0,0,F8/E8)</f>
        <v/>
      </c>
      <c r="J8" s="4">
        <f>IF(E8=0,"-",IF(F8=E8,"Completed",IF(H8&gt;0,"Blocked",IF(F8+G8&gt;0,"In progress","Not started"))))</f>
        <v/>
      </c>
    </row>
    <row r="9">
      <c r="A9" s="4" t="inlineStr">
        <is>
          <t>M4</t>
        </is>
      </c>
      <c r="B9" s="7" t="inlineStr">
        <is>
          <t>Demo polish — FEATURE FREEZE</t>
        </is>
      </c>
      <c r="C9" s="4" t="inlineStr">
        <is>
          <t>Sun 27 Sep 02:00</t>
        </is>
      </c>
      <c r="D9" s="4" t="inlineStr">
        <is>
          <t>Acceptance checklist passes 3x after reset</t>
        </is>
      </c>
      <c r="E9" s="4">
        <f>COUNTIF(Tasks!$B$5:$B$52,A9)</f>
        <v/>
      </c>
      <c r="F9" s="4">
        <f>COUNTIFS(Tasks!$B$5:$B$52,A9,Tasks!$F$5:$F$52,"Completed")</f>
        <v/>
      </c>
      <c r="G9" s="4">
        <f>COUNTIFS(Tasks!$B$5:$B$52,A9,Tasks!$F$5:$F$52,"In progress")</f>
        <v/>
      </c>
      <c r="H9" s="4">
        <f>COUNTIFS(Tasks!$B$5:$B$52,A9,Tasks!$F$5:$F$52,"Blocked")</f>
        <v/>
      </c>
      <c r="I9" s="6">
        <f>IF(E9=0,0,F9/E9)</f>
        <v/>
      </c>
      <c r="J9" s="4">
        <f>IF(E9=0,"-",IF(F9=E9,"Completed",IF(H9&gt;0,"Blocked",IF(F9+G9&gt;0,"In progress","Not started"))))</f>
        <v/>
      </c>
    </row>
    <row r="10">
      <c r="A10" s="4" t="inlineStr">
        <is>
          <t>M5</t>
        </is>
      </c>
      <c r="B10" s="7" t="inlineStr">
        <is>
          <t>Submission</t>
        </is>
      </c>
      <c r="C10" s="4" t="inlineStr">
        <is>
          <t>Sun 27 Sep 07:30</t>
        </is>
      </c>
      <c r="D10" s="4" t="inlineStr">
        <is>
          <t>Video, ZIP, form submitted</t>
        </is>
      </c>
      <c r="E10" s="4">
        <f>COUNTIF(Tasks!$B$5:$B$52,A10)</f>
        <v/>
      </c>
      <c r="F10" s="4">
        <f>COUNTIFS(Tasks!$B$5:$B$52,A10,Tasks!$F$5:$F$52,"Completed")</f>
        <v/>
      </c>
      <c r="G10" s="4">
        <f>COUNTIFS(Tasks!$B$5:$B$52,A10,Tasks!$F$5:$F$52,"In progress")</f>
        <v/>
      </c>
      <c r="H10" s="4">
        <f>COUNTIFS(Tasks!$B$5:$B$52,A10,Tasks!$F$5:$F$52,"Blocked")</f>
        <v/>
      </c>
      <c r="I10" s="6">
        <f>IF(E10=0,0,F10/E10)</f>
        <v/>
      </c>
      <c r="J10" s="4">
        <f>IF(E10=0,"-",IF(F10=E10,"Completed",IF(H10&gt;0,"Blocked",IF(F10+G10&gt;0,"In progress","Not started"))))</f>
        <v/>
      </c>
    </row>
    <row r="12">
      <c r="A12" s="8" t="inlineStr">
        <is>
          <t>Hard rule: after 02:00 Sunday (M3 freeze) → bug fixes only, no new features, no refactors .</t>
        </is>
      </c>
    </row>
  </sheetData>
  <conditionalFormatting sqref="J5:J10">
    <cfRule type="expression" priority="1" dxfId="3">
      <formula>$J5="Completed"</formula>
    </cfRule>
    <cfRule type="expression" priority="2" dxfId="4">
      <formula>$J5="Blocked"</formula>
    </cfRule>
    <cfRule type="expression" priority="3" dxfId="2">
      <formula>$J5="In progress"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8" customWidth="1" min="3" max="3"/>
    <col width="11" customWidth="1" min="4" max="4"/>
    <col width="11" customWidth="1" min="5" max="5"/>
    <col width="9" customWidth="1" min="6" max="6"/>
    <col width="11" customWidth="1" min="7" max="7"/>
    <col width="9" customWidth="1" min="8" max="8"/>
  </cols>
  <sheetData>
    <row r="1">
      <c r="A1" s="1" t="inlineStr">
        <is>
          <t>Who is doing what</t>
        </is>
      </c>
    </row>
    <row r="3">
      <c r="A3" s="9" t="inlineStr">
        <is>
          <t>Owner</t>
        </is>
      </c>
      <c r="B3" s="9" t="inlineStr">
        <is>
          <t>Role</t>
        </is>
      </c>
      <c r="C3" s="9" t="inlineStr">
        <is>
          <t>Tasks</t>
        </is>
      </c>
      <c r="D3" s="9" t="inlineStr">
        <is>
          <t>Completed</t>
        </is>
      </c>
      <c r="E3" s="9" t="inlineStr">
        <is>
          <t>In progress</t>
        </is>
      </c>
      <c r="F3" s="9" t="inlineStr">
        <is>
          <t>Blocked</t>
        </is>
      </c>
      <c r="G3" s="9" t="inlineStr">
        <is>
          <t>Not started</t>
        </is>
      </c>
      <c r="H3" s="9" t="inlineStr">
        <is>
          <t>% done</t>
        </is>
      </c>
    </row>
    <row r="4">
      <c r="A4" s="4" t="inlineStr">
        <is>
          <t>Omar</t>
        </is>
      </c>
      <c r="B4" s="4" t="inlineStr">
        <is>
          <t>Backend core (schema, REST, MCP) → integration, agent demo, submission</t>
        </is>
      </c>
      <c r="C4" s="4">
        <f>COUNTIF(Tasks!$E$5:$E$52,A4)</f>
        <v/>
      </c>
      <c r="D4" s="4">
        <f>COUNTIFS(Tasks!$E$5:$E$52,A4,Tasks!$F$5:$F$52,"Completed")</f>
        <v/>
      </c>
      <c r="E4" s="4">
        <f>COUNTIFS(Tasks!$E$5:$E$52,A4,Tasks!$F$5:$F$52,"In progress")</f>
        <v/>
      </c>
      <c r="F4" s="4">
        <f>COUNTIFS(Tasks!$E$5:$E$52,A4,Tasks!$F$5:$F$52,"Blocked")</f>
        <v/>
      </c>
      <c r="G4" s="4">
        <f>COUNTIFS(Tasks!$E$5:$E$52,A4,Tasks!$F$5:$F$52,"Not started")</f>
        <v/>
      </c>
      <c r="H4" s="6">
        <f>IF(C4=0,0,D4/C4)</f>
        <v/>
      </c>
    </row>
    <row r="5">
      <c r="A5" s="4" t="inlineStr">
        <is>
          <t>Hassan</t>
        </is>
      </c>
      <c r="B5" s="4" t="inlineStr">
        <is>
          <t>Seed data, webhooks, simulated agents, README</t>
        </is>
      </c>
      <c r="C5" s="4">
        <f>COUNTIF(Tasks!$E$5:$E$52,A5)</f>
        <v/>
      </c>
      <c r="D5" s="4">
        <f>COUNTIFS(Tasks!$E$5:$E$52,A5,Tasks!$F$5:$F$52,"Completed")</f>
        <v/>
      </c>
      <c r="E5" s="4">
        <f>COUNTIFS(Tasks!$E$5:$E$52,A5,Tasks!$F$5:$F$52,"In progress")</f>
        <v/>
      </c>
      <c r="F5" s="4">
        <f>COUNTIFS(Tasks!$E$5:$E$52,A5,Tasks!$F$5:$F$52,"Blocked")</f>
        <v/>
      </c>
      <c r="G5" s="4">
        <f>COUNTIFS(Tasks!$E$5:$E$52,A5,Tasks!$F$5:$F$52,"Not started")</f>
        <v/>
      </c>
      <c r="H5" s="6">
        <f>IF(C5=0,0,D5/C5)</f>
        <v/>
      </c>
    </row>
    <row r="6">
      <c r="A6" s="4" t="inlineStr">
        <is>
          <t>Saad</t>
        </is>
      </c>
      <c r="B6" s="4" t="inlineStr">
        <is>
          <t>Lovable frontend per LOVABLE_PLAN.md</t>
        </is>
      </c>
      <c r="C6" s="4">
        <f>COUNTIF(Tasks!$E$5:$E$52,A6)</f>
        <v/>
      </c>
      <c r="D6" s="4">
        <f>COUNTIFS(Tasks!$E$5:$E$52,A6,Tasks!$F$5:$F$52,"Completed")</f>
        <v/>
      </c>
      <c r="E6" s="4">
        <f>COUNTIFS(Tasks!$E$5:$E$52,A6,Tasks!$F$5:$F$52,"In progress")</f>
        <v/>
      </c>
      <c r="F6" s="4">
        <f>COUNTIFS(Tasks!$E$5:$E$52,A6,Tasks!$F$5:$F$52,"Blocked")</f>
        <v/>
      </c>
      <c r="G6" s="4">
        <f>COUNTIFS(Tasks!$E$5:$E$52,A6,Tasks!$F$5:$F$52,"Not started")</f>
        <v/>
      </c>
      <c r="H6" s="6">
        <f>IF(C6=0,0,D6/C6)</f>
        <v/>
      </c>
    </row>
    <row r="7">
      <c r="A7" s="4" t="inlineStr">
        <is>
          <t>All</t>
        </is>
      </c>
      <c r="B7" s="4" t="inlineStr">
        <is>
          <t>QA, video</t>
        </is>
      </c>
      <c r="C7" s="4">
        <f>COUNTIF(Tasks!$E$5:$E$52,A7)</f>
        <v/>
      </c>
      <c r="D7" s="4">
        <f>COUNTIFS(Tasks!$E$5:$E$52,A7,Tasks!$F$5:$F$52,"Completed")</f>
        <v/>
      </c>
      <c r="E7" s="4">
        <f>COUNTIFS(Tasks!$E$5:$E$52,A7,Tasks!$F$5:$F$52,"In progress")</f>
        <v/>
      </c>
      <c r="F7" s="4">
        <f>COUNTIFS(Tasks!$E$5:$E$52,A7,Tasks!$F$5:$F$52,"Blocked")</f>
        <v/>
      </c>
      <c r="G7" s="4">
        <f>COUNTIFS(Tasks!$E$5:$E$52,A7,Tasks!$F$5:$F$52,"Not started")</f>
        <v/>
      </c>
      <c r="H7" s="6">
        <f>IF(C7=0,0,D7/C7)</f>
        <v/>
      </c>
    </row>
    <row r="8">
      <c r="A8" s="10" t="inlineStr">
        <is>
          <t>TOTAL</t>
        </is>
      </c>
      <c r="C8" s="11">
        <f>SUM(C4:C7)</f>
        <v/>
      </c>
      <c r="D8" s="11">
        <f>SUM(D4:D7)</f>
        <v/>
      </c>
      <c r="E8" s="11">
        <f>SUM(E4:E7)</f>
        <v/>
      </c>
      <c r="F8" s="11">
        <f>SUM(F4:F7)</f>
        <v/>
      </c>
      <c r="G8" s="11">
        <f>SUM(G4:G7)</f>
        <v/>
      </c>
      <c r="H8" s="12">
        <f>IF(C8=0,0,D8/C8)</f>
        <v/>
      </c>
    </row>
    <row r="10">
      <c r="A10" s="10" t="inlineStr">
        <is>
          <t>Assumptions (correct if wrong):</t>
        </is>
      </c>
    </row>
    <row r="11">
      <c r="A11" s="13" t="inlineStr">
        <is>
          <t>• Source of truth: docs/MVP_PLAN.md (everyone) and docs/LOVABLE_PLAN.md (frontend + API contract).</t>
        </is>
      </c>
    </row>
    <row r="12">
      <c r="A12" s="13" t="inlineStr">
        <is>
          <t>• Feature freeze 02:00; after that bug fixes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2026-09-26T18:37:49Z</dcterms:created>
  <dcterms:modified xsi:type="dcterms:W3CDTF">2026-09-26T18:37:49Z</dcterms:modified>
</cp:coreProperties>
</file>