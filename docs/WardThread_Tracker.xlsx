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Milestones" sheetId="2" state="visible" r:id="rId2"/>
    <sheet name="Team" sheetId="3" state="visible" r:id="rId3"/>
  </sheets>
  <definedNames>
    <definedName name="_xlnm._FilterDatabase" localSheetId="0" hidden="1">'Tasks'!$A$4:$I$45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C0000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3" fillId="2" borderId="1" pivotButton="0" quotePrefix="0" xfId="0"/>
    <xf numFmtId="0" fontId="7" fillId="0" borderId="0" pivotButton="0" quotePrefix="0" xfId="0"/>
    <xf numFmtId="0" fontId="7" fillId="0" borderId="1" pivotButton="0" quotePrefix="0" xfId="0"/>
    <xf numFmtId="9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5">
    <dxf>
      <font>
        <name val="Arial"/>
        <color rgb="00006100"/>
      </font>
      <fill>
        <patternFill patternType="solid">
          <fgColor rgb="00C6EFCE"/>
        </patternFill>
      </fill>
    </dxf>
    <dxf>
      <font>
        <name val="Arial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Claude</author>
  </authors>
  <commentList>
    <comment ref="G4" authorId="0" shapeId="0">
      <text>
        <t>Build window Sat 26 Sep 13:00 → Sun 27 Sep 08:30 CEST; submit by 08:00. Times after midnight are Sunday. Targets are my proposal — adjust.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70" customWidth="1" min="4" max="4"/>
    <col width="15" customWidth="1" min="5" max="5"/>
    <col width="14" customWidth="1" min="6" max="6"/>
    <col width="14" customWidth="1" min="7" max="7"/>
    <col width="11" customWidth="1" min="8" max="8"/>
    <col width="40" customWidth="1" min="9" max="9"/>
  </cols>
  <sheetData>
    <row r="1">
      <c r="A1" s="1" t="inlineStr">
        <is>
          <t>WardThread — HACK_002 Task Tracker</t>
        </is>
      </c>
    </row>
    <row r="2">
      <c r="A2" s="2" t="inlineStr">
        <is>
          <t>Edit only the yellow columns (Owner, Status, Notes). Status &amp; Owner are dropdowns. Row turns green when Completed, red when Blocked.</t>
        </is>
      </c>
    </row>
    <row r="4">
      <c r="A4" s="3" t="inlineStr">
        <is>
          <t>ID</t>
        </is>
      </c>
      <c r="B4" s="3" t="inlineStr">
        <is>
          <t>Milestone</t>
        </is>
      </c>
      <c r="C4" s="3" t="inlineStr">
        <is>
          <t>Area</t>
        </is>
      </c>
      <c r="D4" s="3" t="inlineStr">
        <is>
          <t>Task</t>
        </is>
      </c>
      <c r="E4" s="3" t="inlineStr">
        <is>
          <t>Owner</t>
        </is>
      </c>
      <c r="F4" s="3" t="inlineStr">
        <is>
          <t>Status</t>
        </is>
      </c>
      <c r="G4" s="3" t="inlineStr">
        <is>
          <t>Target (CEST)</t>
        </is>
      </c>
      <c r="H4" s="3" t="inlineStr">
        <is>
          <t>Brief ref</t>
        </is>
      </c>
      <c r="I4" s="3" t="inlineStr">
        <is>
          <t>Notes / blocker</t>
        </is>
      </c>
    </row>
    <row r="5">
      <c r="A5" s="4" t="inlineStr">
        <is>
          <t>T01</t>
        </is>
      </c>
      <c r="B5" s="4" t="inlineStr">
        <is>
          <t>M0</t>
        </is>
      </c>
      <c r="C5" s="4" t="inlineStr">
        <is>
          <t>Setup</t>
        </is>
      </c>
      <c r="D5" s="4" t="inlineStr">
        <is>
          <t>Create npm workspaces root (server, web), scripts dev/test/eval, .gitignore, .env.example</t>
        </is>
      </c>
      <c r="E5" s="5" t="inlineStr">
        <is>
          <t>Omar</t>
        </is>
      </c>
      <c r="F5" s="5" t="inlineStr">
        <is>
          <t>Not started</t>
        </is>
      </c>
      <c r="G5" s="4" t="inlineStr">
        <is>
          <t>14:30</t>
        </is>
      </c>
      <c r="H5" s="4" t="inlineStr">
        <is>
          <t>§4 §6 §7</t>
        </is>
      </c>
      <c r="I5" s="5" t="inlineStr"/>
    </row>
    <row r="6">
      <c r="A6" s="4" t="inlineStr">
        <is>
          <t>T02</t>
        </is>
      </c>
      <c r="B6" s="4" t="inlineStr">
        <is>
          <t>M0</t>
        </is>
      </c>
      <c r="C6" s="4" t="inlineStr">
        <is>
          <t>Setup</t>
        </is>
      </c>
      <c r="D6" s="4" t="inlineStr">
        <is>
          <t>Corti Console: create API client, put creds in server/.env only, pin @corti/sdk version</t>
        </is>
      </c>
      <c r="E6" s="5" t="inlineStr">
        <is>
          <t>Hassan</t>
        </is>
      </c>
      <c r="F6" s="5" t="inlineStr">
        <is>
          <t>Not started</t>
        </is>
      </c>
      <c r="G6" s="4" t="inlineStr">
        <is>
          <t>14:30</t>
        </is>
      </c>
      <c r="H6" s="4" t="inlineStr">
        <is>
          <t>§5</t>
        </is>
      </c>
      <c r="I6" s="5" t="inlineStr"/>
    </row>
    <row r="7">
      <c r="A7" s="4" t="inlineStr">
        <is>
          <t>T03</t>
        </is>
      </c>
      <c r="B7" s="4" t="inlineStr">
        <is>
          <t>M0</t>
        </is>
      </c>
      <c r="C7" s="4" t="inlineStr">
        <is>
          <t>Frontend</t>
        </is>
      </c>
      <c r="D7" s="4" t="inlineStr">
        <is>
          <t>Create Lovable project (Vite+React+TS+Tailwind), 4 tabs shell, connect to GitHub</t>
        </is>
      </c>
      <c r="E7" s="5" t="inlineStr">
        <is>
          <t>Saad</t>
        </is>
      </c>
      <c r="F7" s="5" t="inlineStr">
        <is>
          <t>Not started</t>
        </is>
      </c>
      <c r="G7" s="4" t="inlineStr">
        <is>
          <t>14:30</t>
        </is>
      </c>
      <c r="H7" s="4" t="inlineStr">
        <is>
          <t>§4 §19</t>
        </is>
      </c>
      <c r="I7" s="5" t="inlineStr"/>
    </row>
    <row r="8">
      <c r="A8" s="4" t="inlineStr">
        <is>
          <t>T04</t>
        </is>
      </c>
      <c r="B8" s="4" t="inlineStr">
        <is>
          <t>M0</t>
        </is>
      </c>
      <c r="C8" s="4" t="inlineStr">
        <is>
          <t>Integration</t>
        </is>
      </c>
      <c r="D8" s="4" t="inlineStr">
        <is>
          <t>Agree API response shapes (share types.ts + sample JSON for every /api route with Saad)</t>
        </is>
      </c>
      <c r="E8" s="5" t="inlineStr">
        <is>
          <t>Omar</t>
        </is>
      </c>
      <c r="F8" s="5" t="inlineStr">
        <is>
          <t>Not started</t>
        </is>
      </c>
      <c r="G8" s="4" t="inlineStr">
        <is>
          <t>15:00</t>
        </is>
      </c>
      <c r="H8" s="4" t="inlineStr">
        <is>
          <t>§17</t>
        </is>
      </c>
      <c r="I8" s="5" t="inlineStr"/>
    </row>
    <row r="9">
      <c r="A9" s="4" t="inlineStr">
        <is>
          <t>T05</t>
        </is>
      </c>
      <c r="B9" s="4" t="inlineStr">
        <is>
          <t>M1</t>
        </is>
      </c>
      <c r="C9" s="4" t="inlineStr">
        <is>
          <t>Backend</t>
        </is>
      </c>
      <c r="D9" s="4" t="inlineStr">
        <is>
          <t>db.ts: SQLite schema on boot (all 9 tables)</t>
        </is>
      </c>
      <c r="E9" s="5" t="inlineStr">
        <is>
          <t>Hassan</t>
        </is>
      </c>
      <c r="F9" s="5" t="inlineStr">
        <is>
          <t>Not started</t>
        </is>
      </c>
      <c r="G9" s="4" t="inlineStr">
        <is>
          <t>15:30</t>
        </is>
      </c>
      <c r="H9" s="4" t="inlineStr">
        <is>
          <t>§8</t>
        </is>
      </c>
      <c r="I9" s="5" t="inlineStr"/>
    </row>
    <row r="10">
      <c r="A10" s="4" t="inlineStr">
        <is>
          <t>T06</t>
        </is>
      </c>
      <c r="B10" s="4" t="inlineStr">
        <is>
          <t>M1</t>
        </is>
      </c>
      <c r="C10" s="4" t="inlineStr">
        <is>
          <t>Backend</t>
        </is>
      </c>
      <c r="D10" s="4" t="inlineStr">
        <is>
          <t>clock.ts: simulated clock, seed Sat 09:00, GET /clock, POST /clock/advance</t>
        </is>
      </c>
      <c r="E10" s="5" t="inlineStr">
        <is>
          <t>Hassan</t>
        </is>
      </c>
      <c r="F10" s="5" t="inlineStr">
        <is>
          <t>Not started</t>
        </is>
      </c>
      <c r="G10" s="4" t="inlineStr">
        <is>
          <t>16:00</t>
        </is>
      </c>
      <c r="H10" s="4" t="inlineStr">
        <is>
          <t>§16</t>
        </is>
      </c>
      <c r="I10" s="5" t="inlineStr"/>
    </row>
    <row r="11">
      <c r="A11" s="4" t="inlineStr">
        <is>
          <t>T07</t>
        </is>
      </c>
      <c r="B11" s="4" t="inlineStr">
        <is>
          <t>M1</t>
        </is>
      </c>
      <c r="C11" s="4" t="inlineStr">
        <is>
          <t>Backend</t>
        </is>
      </c>
      <c r="D11" s="4" t="inlineStr">
        <is>
          <t>fixtures: beds.json (6 beds, bed 4 with approved task due soon) + seed.ts + POST /reset</t>
        </is>
      </c>
      <c r="E11" s="5" t="inlineStr">
        <is>
          <t>Hassan</t>
        </is>
      </c>
      <c r="F11" s="5" t="inlineStr">
        <is>
          <t>Not started</t>
        </is>
      </c>
      <c r="G11" s="4" t="inlineStr">
        <is>
          <t>16:30</t>
        </is>
      </c>
      <c r="H11" s="4" t="inlineStr">
        <is>
          <t>§3 §6</t>
        </is>
      </c>
      <c r="I11" s="5" t="inlineStr"/>
    </row>
    <row r="12">
      <c r="A12" s="4" t="inlineStr">
        <is>
          <t>T08</t>
        </is>
      </c>
      <c r="B12" s="4" t="inlineStr">
        <is>
          <t>M1</t>
        </is>
      </c>
      <c r="C12" s="4" t="inlineStr">
        <is>
          <t>Backend</t>
        </is>
      </c>
      <c r="D12" s="4" t="inlineStr">
        <is>
          <t>domain/types.ts + state-machine.ts (InvalidTransition → 409, activity row per transition)</t>
        </is>
      </c>
      <c r="E12" s="5" t="inlineStr">
        <is>
          <t>Omar</t>
        </is>
      </c>
      <c r="F12" s="5" t="inlineStr">
        <is>
          <t>Not started</t>
        </is>
      </c>
      <c r="G12" s="4" t="inlineStr">
        <is>
          <t>16:30</t>
        </is>
      </c>
      <c r="H12" s="4" t="inlineStr">
        <is>
          <t>§10</t>
        </is>
      </c>
      <c r="I12" s="5" t="inlineStr"/>
    </row>
    <row r="13">
      <c r="A13" s="4" t="inlineStr">
        <is>
          <t>T09</t>
        </is>
      </c>
      <c r="B13" s="4" t="inlineStr">
        <is>
          <t>M1</t>
        </is>
      </c>
      <c r="C13" s="4" t="inlineStr">
        <is>
          <t>Backend</t>
        </is>
      </c>
      <c r="D13" s="4" t="inlineStr">
        <is>
          <t>deadlines.ts: resolve today/tomorrow/before_discharge/none against sim clock</t>
        </is>
      </c>
      <c r="E13" s="5" t="inlineStr">
        <is>
          <t>Omar</t>
        </is>
      </c>
      <c r="F13" s="5" t="inlineStr">
        <is>
          <t>Not started</t>
        </is>
      </c>
      <c r="G13" s="4" t="inlineStr">
        <is>
          <t>17:00</t>
        </is>
      </c>
      <c r="H13" s="4" t="inlineStr">
        <is>
          <t>§9</t>
        </is>
      </c>
      <c r="I13" s="5" t="inlineStr"/>
    </row>
    <row r="14">
      <c r="A14" s="4" t="inlineStr">
        <is>
          <t>T10</t>
        </is>
      </c>
      <c r="B14" s="4" t="inlineStr">
        <is>
          <t>M1</t>
        </is>
      </c>
      <c r="C14" s="4" t="inlineStr">
        <is>
          <t>Backend</t>
        </is>
      </c>
      <c r="D14" s="4" t="inlineStr">
        <is>
          <t>downstream/task-system.ts SIMULATED: createTask (idempotent), getTask, markDone</t>
        </is>
      </c>
      <c r="E14" s="5" t="inlineStr">
        <is>
          <t>Hassan</t>
        </is>
      </c>
      <c r="F14" s="5" t="inlineStr">
        <is>
          <t>Not started</t>
        </is>
      </c>
      <c r="G14" s="4" t="inlineStr">
        <is>
          <t>17:00</t>
        </is>
      </c>
      <c r="H14" s="4" t="inlineStr">
        <is>
          <t>§15</t>
        </is>
      </c>
      <c r="I14" s="5" t="inlineStr"/>
    </row>
    <row r="15">
      <c r="A15" s="4" t="inlineStr">
        <is>
          <t>T11</t>
        </is>
      </c>
      <c r="B15" s="4" t="inlineStr">
        <is>
          <t>M1</t>
        </is>
      </c>
      <c r="C15" s="4" t="inlineStr">
        <is>
          <t>Backend</t>
        </is>
      </c>
      <c r="D15" s="4" t="inlineStr">
        <is>
          <t>Routes: threads approve / edit-approve / dismiss + readback → verified | failed_verification</t>
        </is>
      </c>
      <c r="E15" s="5" t="inlineStr">
        <is>
          <t>Omar</t>
        </is>
      </c>
      <c r="F15" s="5" t="inlineStr">
        <is>
          <t>Not started</t>
        </is>
      </c>
      <c r="G15" s="4" t="inlineStr">
        <is>
          <t>17:30</t>
        </is>
      </c>
      <c r="H15" s="4" t="inlineStr">
        <is>
          <t>§10 §15 §17</t>
        </is>
      </c>
      <c r="I15" s="5" t="inlineStr"/>
    </row>
    <row r="16">
      <c r="A16" s="4" t="inlineStr">
        <is>
          <t>T12</t>
        </is>
      </c>
      <c r="B16" s="4" t="inlineStr">
        <is>
          <t>M1</t>
        </is>
      </c>
      <c r="C16" s="4" t="inlineStr">
        <is>
          <t>Backend</t>
        </is>
      </c>
      <c r="D16" s="4" t="inlineStr">
        <is>
          <t>rollup.ts + GET /beds (priority order, per-state counts)</t>
        </is>
      </c>
      <c r="E16" s="5" t="inlineStr">
        <is>
          <t>Hassan</t>
        </is>
      </c>
      <c r="F16" s="5" t="inlineStr">
        <is>
          <t>Not started</t>
        </is>
      </c>
      <c r="G16" s="4" t="inlineStr">
        <is>
          <t>17:30</t>
        </is>
      </c>
      <c r="H16" s="4" t="inlineStr">
        <is>
          <t>§18</t>
        </is>
      </c>
      <c r="I16" s="5" t="inlineStr"/>
    </row>
    <row r="17">
      <c r="A17" s="4" t="inlineStr">
        <is>
          <t>T13</t>
        </is>
      </c>
      <c r="B17" s="4" t="inlineStr">
        <is>
          <t>M1</t>
        </is>
      </c>
      <c r="C17" s="4" t="inlineStr">
        <is>
          <t>Backend</t>
        </is>
      </c>
      <c r="D17" s="4" t="inlineStr">
        <is>
          <t>Routes: GET /tasks?team=, POST /tasks/:id/done, GET /threads/:id/activity</t>
        </is>
      </c>
      <c r="E17" s="5" t="inlineStr">
        <is>
          <t>Hassan</t>
        </is>
      </c>
      <c r="F17" s="5" t="inlineStr">
        <is>
          <t>Not started</t>
        </is>
      </c>
      <c r="G17" s="4" t="inlineStr">
        <is>
          <t>18:00</t>
        </is>
      </c>
      <c r="H17" s="4" t="inlineStr">
        <is>
          <t>§17</t>
        </is>
      </c>
      <c r="I17" s="5" t="inlineStr"/>
    </row>
    <row r="18">
      <c r="A18" s="4" t="inlineStr">
        <is>
          <t>T14</t>
        </is>
      </c>
      <c r="B18" s="4" t="inlineStr">
        <is>
          <t>M1</t>
        </is>
      </c>
      <c r="C18" s="4" t="inlineStr">
        <is>
          <t>Backend</t>
        </is>
      </c>
      <c r="D18" s="4" t="inlineStr">
        <is>
          <t>Tests: state machine + DEDICATED test 'task only created from approved'</t>
        </is>
      </c>
      <c r="E18" s="5" t="inlineStr">
        <is>
          <t>Omar</t>
        </is>
      </c>
      <c r="F18" s="5" t="inlineStr">
        <is>
          <t>Not started</t>
        </is>
      </c>
      <c r="G18" s="4" t="inlineStr">
        <is>
          <t>18:00</t>
        </is>
      </c>
      <c r="H18" s="4" t="inlineStr">
        <is>
          <t>§10</t>
        </is>
      </c>
      <c r="I18" s="5" t="inlineStr"/>
    </row>
    <row r="19">
      <c r="A19" s="4" t="inlineStr">
        <is>
          <t>T15</t>
        </is>
      </c>
      <c r="B19" s="4" t="inlineStr">
        <is>
          <t>M2</t>
        </is>
      </c>
      <c r="C19" s="4" t="inlineStr">
        <is>
          <t>Backend</t>
        </is>
      </c>
      <c r="D19" s="4" t="inlineStr">
        <is>
          <t>corti/gateway.ts interface + LiveCortiGateway (auth, mintToken, 60s timeout, 1 retry, usage log)</t>
        </is>
      </c>
      <c r="E19" s="5" t="inlineStr">
        <is>
          <t>Hassan</t>
        </is>
      </c>
      <c r="F19" s="5" t="inlineStr">
        <is>
          <t>Not started</t>
        </is>
      </c>
      <c r="G19" s="4" t="inlineStr">
        <is>
          <t>19:00</t>
        </is>
      </c>
      <c r="H19" s="4" t="inlineStr">
        <is>
          <t>§11</t>
        </is>
      </c>
      <c r="I19" s="5" t="inlineStr"/>
    </row>
    <row r="20">
      <c r="A20" s="4" t="inlineStr">
        <is>
          <t>T16</t>
        </is>
      </c>
      <c r="B20" s="4" t="inlineStr">
        <is>
          <t>M2</t>
        </is>
      </c>
      <c r="C20" s="4" t="inlineStr">
        <is>
          <t>Backend</t>
        </is>
      </c>
      <c r="D20" s="4" t="inlineStr">
        <is>
          <t>corti/cache.ts sha256 JSON cache + fake.ts FakeCortiGateway; CACHE_MODE readonly works offline</t>
        </is>
      </c>
      <c r="E20" s="5" t="inlineStr">
        <is>
          <t>Hassan</t>
        </is>
      </c>
      <c r="F20" s="5" t="inlineStr">
        <is>
          <t>Not started</t>
        </is>
      </c>
      <c r="G20" s="4" t="inlineStr">
        <is>
          <t>19:30</t>
        </is>
      </c>
      <c r="H20" s="4" t="inlineStr">
        <is>
          <t>§11 §14</t>
        </is>
      </c>
      <c r="I20" s="5" t="inlineStr"/>
    </row>
    <row r="21">
      <c r="A21" s="4" t="inlineStr">
        <is>
          <t>T17</t>
        </is>
      </c>
      <c r="B21" s="4" t="inlineStr">
        <is>
          <t>M2</t>
        </is>
      </c>
      <c r="C21" s="4" t="inlineStr">
        <is>
          <t>Backend</t>
        </is>
      </c>
      <c r="D21" s="4" t="inlineStr">
        <is>
          <t>pipeline/extract.ts: documents.generate dynamic template + outputSchema, zod validate, retry once</t>
        </is>
      </c>
      <c r="E21" s="5" t="inlineStr">
        <is>
          <t>Omar</t>
        </is>
      </c>
      <c r="F21" s="5" t="inlineStr">
        <is>
          <t>Not started</t>
        </is>
      </c>
      <c r="G21" s="4" t="inlineStr">
        <is>
          <t>19:30</t>
        </is>
      </c>
      <c r="H21" s="4" t="inlineStr">
        <is>
          <t>§14</t>
        </is>
      </c>
      <c r="I21" s="5" t="inlineStr"/>
    </row>
    <row r="22">
      <c r="A22" s="4" t="inlineStr">
        <is>
          <t>T18</t>
        </is>
      </c>
      <c r="B22" s="4" t="inlineStr">
        <is>
          <t>M2</t>
        </is>
      </c>
      <c r="C22" s="4" t="inlineStr">
        <is>
          <t>Backend</t>
        </is>
      </c>
      <c r="D22" s="4" t="inlineStr">
        <is>
          <t>pipeline/ground.ts (verbatim quote in ONE final segment) + dedup.ts (token overlap ≥0.6)</t>
        </is>
      </c>
      <c r="E22" s="5" t="inlineStr">
        <is>
          <t>Omar</t>
        </is>
      </c>
      <c r="F22" s="5" t="inlineStr">
        <is>
          <t>Not started</t>
        </is>
      </c>
      <c r="G22" s="4" t="inlineStr">
        <is>
          <t>20:00</t>
        </is>
      </c>
      <c r="H22" s="4" t="inlineStr">
        <is>
          <t>§13</t>
        </is>
      </c>
      <c r="I22" s="5" t="inlineStr"/>
    </row>
    <row r="23">
      <c r="A23" s="4" t="inlineStr">
        <is>
          <t>T19</t>
        </is>
      </c>
      <c r="B23" s="4" t="inlineStr">
        <is>
          <t>M2</t>
        </is>
      </c>
      <c r="C23" s="4" t="inlineStr">
        <is>
          <t>Backend</t>
        </is>
      </c>
      <c r="D23" s="4" t="inlineStr">
        <is>
          <t>pipeline/run.ts: persist proposed threads + activity trail + rejected_candidates</t>
        </is>
      </c>
      <c r="E23" s="5" t="inlineStr">
        <is>
          <t>Omar</t>
        </is>
      </c>
      <c r="F23" s="5" t="inlineStr">
        <is>
          <t>Not started</t>
        </is>
      </c>
      <c r="G23" s="4" t="inlineStr">
        <is>
          <t>20:30</t>
        </is>
      </c>
      <c r="H23" s="4" t="inlineStr">
        <is>
          <t>§13</t>
        </is>
      </c>
      <c r="I23" s="5" t="inlineStr"/>
    </row>
    <row r="24">
      <c r="A24" s="4" t="inlineStr">
        <is>
          <t>T20</t>
        </is>
      </c>
      <c r="B24" s="4" t="inlineStr">
        <is>
          <t>M2</t>
        </is>
      </c>
      <c r="C24" s="4" t="inlineStr">
        <is>
          <t>Backend</t>
        </is>
      </c>
      <c r="D24" s="4" t="inlineStr">
        <is>
          <t>Input C: POST /sessions/:id/text; Input B: POST /sessions {bedId, caseId} pre-recorded STT</t>
        </is>
      </c>
      <c r="E24" s="5" t="inlineStr">
        <is>
          <t>Hassan</t>
        </is>
      </c>
      <c r="F24" s="5" t="inlineStr">
        <is>
          <t>Not started</t>
        </is>
      </c>
      <c r="G24" s="4" t="inlineStr">
        <is>
          <t>20:30</t>
        </is>
      </c>
      <c r="H24" s="4" t="inlineStr">
        <is>
          <t>§12</t>
        </is>
      </c>
      <c r="I24" s="5" t="inlineStr"/>
    </row>
    <row r="25">
      <c r="A25" s="4" t="inlineStr">
        <is>
          <t>T21</t>
        </is>
      </c>
      <c r="B25" s="4" t="inlineStr">
        <is>
          <t>M2</t>
        </is>
      </c>
      <c r="C25" s="4" t="inlineStr">
        <is>
          <t>Backend</t>
        </is>
      </c>
      <c r="D25" s="4" t="inlineStr">
        <is>
          <t>GET /sessions/:id, GET /threads?bedId=, GET /health (corti ok|error)</t>
        </is>
      </c>
      <c r="E25" s="5" t="inlineStr">
        <is>
          <t>Hassan</t>
        </is>
      </c>
      <c r="F25" s="5" t="inlineStr">
        <is>
          <t>Not started</t>
        </is>
      </c>
      <c r="G25" s="4" t="inlineStr">
        <is>
          <t>21:00</t>
        </is>
      </c>
      <c r="H25" s="4" t="inlineStr">
        <is>
          <t>§11 §17</t>
        </is>
      </c>
      <c r="I25" s="5" t="inlineStr"/>
    </row>
    <row r="26">
      <c r="A26" s="4" t="inlineStr">
        <is>
          <t>T22</t>
        </is>
      </c>
      <c r="B26" s="4" t="inlineStr">
        <is>
          <t>M2</t>
        </is>
      </c>
      <c r="C26" s="4" t="inlineStr">
        <is>
          <t>Content</t>
        </is>
      </c>
      <c r="D26" s="4" t="inlineStr">
        <is>
          <t>Write case-01..06 script.txt + gold.json (incl. 2 honest failures); record/generate audio</t>
        </is>
      </c>
      <c r="E26" s="5" t="inlineStr">
        <is>
          <t>Omar + Hassan</t>
        </is>
      </c>
      <c r="F26" s="5" t="inlineStr">
        <is>
          <t>Not started</t>
        </is>
      </c>
      <c r="G26" s="4" t="inlineStr">
        <is>
          <t>21:00</t>
        </is>
      </c>
      <c r="H26" s="4" t="inlineStr">
        <is>
          <t>§6 §3.7</t>
        </is>
      </c>
      <c r="I26" s="5" t="inlineStr"/>
    </row>
    <row r="27">
      <c r="A27" s="4" t="inlineStr">
        <is>
          <t>T23</t>
        </is>
      </c>
      <c r="B27" s="4" t="inlineStr">
        <is>
          <t>M3</t>
        </is>
      </c>
      <c r="C27" s="4" t="inlineStr">
        <is>
          <t>Frontend</t>
        </is>
      </c>
      <c r="D27" s="4" t="inlineStr">
        <is>
          <t>Session page: bed picker, record/play clip buttons, live transcript, RecordingIndicator</t>
        </is>
      </c>
      <c r="E27" s="5" t="inlineStr">
        <is>
          <t>Saad</t>
        </is>
      </c>
      <c r="F27" s="5" t="inlineStr">
        <is>
          <t>Not started</t>
        </is>
      </c>
      <c r="G27" s="4" t="inlineStr">
        <is>
          <t>18:00</t>
        </is>
      </c>
      <c r="H27" s="4" t="inlineStr">
        <is>
          <t>§3 §12</t>
        </is>
      </c>
      <c r="I27" s="5" t="inlineStr"/>
    </row>
    <row r="28">
      <c r="A28" s="4" t="inlineStr">
        <is>
          <t>T24</t>
        </is>
      </c>
      <c r="B28" s="4" t="inlineStr">
        <is>
          <t>M3</t>
        </is>
      </c>
      <c r="C28" s="4" t="inlineStr">
        <is>
          <t>Frontend</t>
        </is>
      </c>
      <c r="D28" s="4" t="inlineStr">
        <is>
          <t>ThreadCard: approve / edit (team, deadline, urgency) / dismiss with reason; quote highlight in transcript</t>
        </is>
      </c>
      <c r="E28" s="5" t="inlineStr">
        <is>
          <t>Saad</t>
        </is>
      </c>
      <c r="F28" s="5" t="inlineStr">
        <is>
          <t>Not started</t>
        </is>
      </c>
      <c r="G28" s="4" t="inlineStr">
        <is>
          <t>19:00</t>
        </is>
      </c>
      <c r="H28" s="4" t="inlineStr">
        <is>
          <t>§3</t>
        </is>
      </c>
      <c r="I28" s="5" t="inlineStr"/>
    </row>
    <row r="29">
      <c r="A29" s="4" t="inlineStr">
        <is>
          <t>T25</t>
        </is>
      </c>
      <c r="B29" s="4" t="inlineStr">
        <is>
          <t>M3</t>
        </is>
      </c>
      <c r="C29" s="4" t="inlineStr">
        <is>
          <t>Frontend</t>
        </is>
      </c>
      <c r="D29" s="4" t="inlineStr">
        <is>
          <t>StatusRing + ActivityTrail components (Proposed/Tracked/Verified/Escalated states)</t>
        </is>
      </c>
      <c r="E29" s="5" t="inlineStr">
        <is>
          <t>Saad</t>
        </is>
      </c>
      <c r="F29" s="5" t="inlineStr">
        <is>
          <t>Not started</t>
        </is>
      </c>
      <c r="G29" s="4" t="inlineStr">
        <is>
          <t>19:30</t>
        </is>
      </c>
      <c r="H29" s="4" t="inlineStr">
        <is>
          <t>§10 §18</t>
        </is>
      </c>
      <c r="I29" s="5" t="inlineStr"/>
    </row>
    <row r="30">
      <c r="A30" s="4" t="inlineStr">
        <is>
          <t>T26</t>
        </is>
      </c>
      <c r="B30" s="4" t="inlineStr">
        <is>
          <t>M3</t>
        </is>
      </c>
      <c r="C30" s="4" t="inlineStr">
        <is>
          <t>Frontend</t>
        </is>
      </c>
      <c r="D30" s="4" t="inlineStr">
        <is>
          <t>Ward Board page: BedRow per bed, rollup, red 'Escalated', 'No tracked follow-through blockers' wording</t>
        </is>
      </c>
      <c r="E30" s="5" t="inlineStr">
        <is>
          <t>Saad</t>
        </is>
      </c>
      <c r="F30" s="5" t="inlineStr">
        <is>
          <t>Not started</t>
        </is>
      </c>
      <c r="G30" s="4" t="inlineStr">
        <is>
          <t>20:00</t>
        </is>
      </c>
      <c r="H30" s="4" t="inlineStr">
        <is>
          <t>§18</t>
        </is>
      </c>
      <c r="I30" s="5" t="inlineStr"/>
    </row>
    <row r="31">
      <c r="A31" s="4" t="inlineStr">
        <is>
          <t>T27</t>
        </is>
      </c>
      <c r="B31" s="4" t="inlineStr">
        <is>
          <t>M3</t>
        </is>
      </c>
      <c r="C31" s="4" t="inlineStr">
        <is>
          <t>Frontend</t>
        </is>
      </c>
      <c r="D31" s="4" t="inlineStr">
        <is>
          <t>Tasks page: SIMULATED team queues, Mark done button; 'Advance clock 24h' + 'Reset demo' buttons</t>
        </is>
      </c>
      <c r="E31" s="5" t="inlineStr">
        <is>
          <t>Saad</t>
        </is>
      </c>
      <c r="F31" s="5" t="inlineStr">
        <is>
          <t>Not started</t>
        </is>
      </c>
      <c r="G31" s="4" t="inlineStr">
        <is>
          <t>20:30</t>
        </is>
      </c>
      <c r="H31" s="4" t="inlineStr">
        <is>
          <t>§15 §16</t>
        </is>
      </c>
      <c r="I31" s="5" t="inlineStr"/>
    </row>
    <row r="32">
      <c r="A32" s="4" t="inlineStr">
        <is>
          <t>T28</t>
        </is>
      </c>
      <c r="B32" s="4" t="inlineStr">
        <is>
          <t>M3</t>
        </is>
      </c>
      <c r="C32" s="4" t="inlineStr">
        <is>
          <t>Frontend</t>
        </is>
      </c>
      <c r="D32" s="4" t="inlineStr">
        <is>
          <t>Eval page: EvalTable, metrics, before/after workflow map</t>
        </is>
      </c>
      <c r="E32" s="5" t="inlineStr">
        <is>
          <t>Saad</t>
        </is>
      </c>
      <c r="F32" s="5" t="inlineStr">
        <is>
          <t>Not started</t>
        </is>
      </c>
      <c r="G32" s="4" t="inlineStr">
        <is>
          <t>21:00</t>
        </is>
      </c>
      <c r="H32" s="4" t="inlineStr">
        <is>
          <t>§2 §3.7</t>
        </is>
      </c>
      <c r="I32" s="5" t="inlineStr"/>
    </row>
    <row r="33">
      <c r="A33" s="4" t="inlineStr">
        <is>
          <t>T29</t>
        </is>
      </c>
      <c r="B33" s="4" t="inlineStr">
        <is>
          <t>M3</t>
        </is>
      </c>
      <c r="C33" s="4" t="inlineStr">
        <is>
          <t>Frontend</t>
        </is>
      </c>
      <c r="D33" s="4" t="inlineStr">
        <is>
          <t>'SIMULATED' labels everywhere; never show 'clear for discharge'</t>
        </is>
      </c>
      <c r="E33" s="5" t="inlineStr">
        <is>
          <t>Saad</t>
        </is>
      </c>
      <c r="F33" s="5" t="inlineStr">
        <is>
          <t>Not started</t>
        </is>
      </c>
      <c r="G33" s="4" t="inlineStr">
        <is>
          <t>21:00</t>
        </is>
      </c>
      <c r="H33" s="4" t="inlineStr">
        <is>
          <t>§0 §1</t>
        </is>
      </c>
      <c r="I33" s="5" t="inlineStr"/>
    </row>
    <row r="34">
      <c r="A34" s="4" t="inlineStr">
        <is>
          <t>T30</t>
        </is>
      </c>
      <c r="B34" s="4" t="inlineStr">
        <is>
          <t>M4</t>
        </is>
      </c>
      <c r="C34" s="4" t="inlineStr">
        <is>
          <t>Integration</t>
        </is>
      </c>
      <c r="D34" s="4" t="inlineStr">
        <is>
          <t>Export Lovable code into web/, strip Supabase/any Lovable backend, api.ts with plain fetch + 2s polling</t>
        </is>
      </c>
      <c r="E34" s="5" t="inlineStr">
        <is>
          <t>Omar</t>
        </is>
      </c>
      <c r="F34" s="5" t="inlineStr">
        <is>
          <t>Not started</t>
        </is>
      </c>
      <c r="G34" s="4" t="inlineStr">
        <is>
          <t>22:00</t>
        </is>
      </c>
      <c r="H34" s="4" t="inlineStr">
        <is>
          <t>§4 §6</t>
        </is>
      </c>
      <c r="I34" s="5" t="inlineStr"/>
    </row>
    <row r="35">
      <c r="A35" s="4" t="inlineStr">
        <is>
          <t>T31</t>
        </is>
      </c>
      <c r="B35" s="4" t="inlineStr">
        <is>
          <t>M4</t>
        </is>
      </c>
      <c r="C35" s="4" t="inlineStr">
        <is>
          <t>Integration</t>
        </is>
      </c>
      <c r="D35" s="4" t="inlineStr">
        <is>
          <t>Wire Session → pipeline → ThreadCards; Approve → PHA-#### in queue → ring green 'Verified'</t>
        </is>
      </c>
      <c r="E35" s="5" t="inlineStr">
        <is>
          <t>Omar</t>
        </is>
      </c>
      <c r="F35" s="5" t="inlineStr">
        <is>
          <t>Not started</t>
        </is>
      </c>
      <c r="G35" s="4" t="inlineStr">
        <is>
          <t>23:00</t>
        </is>
      </c>
      <c r="H35" s="4" t="inlineStr">
        <is>
          <t>§3.3</t>
        </is>
      </c>
      <c r="I35" s="5" t="inlineStr"/>
    </row>
    <row r="36">
      <c r="A36" s="4" t="inlineStr">
        <is>
          <t>T32</t>
        </is>
      </c>
      <c r="B36" s="4" t="inlineStr">
        <is>
          <t>M4</t>
        </is>
      </c>
      <c r="C36" s="4" t="inlineStr">
        <is>
          <t>Integration</t>
        </is>
      </c>
      <c r="D36" s="4" t="inlineStr">
        <is>
          <t>Record cached run of demo case so step 3 works with CORTI_MODE=fake / no network</t>
        </is>
      </c>
      <c r="E36" s="5" t="inlineStr">
        <is>
          <t>Hassan</t>
        </is>
      </c>
      <c r="F36" s="5" t="inlineStr">
        <is>
          <t>Not started</t>
        </is>
      </c>
      <c r="G36" s="4" t="inlineStr">
        <is>
          <t>23:30</t>
        </is>
      </c>
      <c r="H36" s="4" t="inlineStr">
        <is>
          <t>§3 §14</t>
        </is>
      </c>
      <c r="I36" s="5" t="inlineStr"/>
    </row>
    <row r="37">
      <c r="A37" s="4" t="inlineStr">
        <is>
          <t>T33</t>
        </is>
      </c>
      <c r="B37" s="4" t="inlineStr">
        <is>
          <t>M5</t>
        </is>
      </c>
      <c r="C37" s="4" t="inlineStr">
        <is>
          <t>Backend</t>
        </is>
      </c>
      <c r="D37" s="4" t="inlineStr">
        <is>
          <t>POST /sessions/ambient (interactions.create + streams token) + /segments + /finish</t>
        </is>
      </c>
      <c r="E37" s="5" t="inlineStr">
        <is>
          <t>Hassan</t>
        </is>
      </c>
      <c r="F37" s="5" t="inlineStr">
        <is>
          <t>Not started</t>
        </is>
      </c>
      <c r="G37" s="4" t="inlineStr">
        <is>
          <t>23:30</t>
        </is>
      </c>
      <c r="H37" s="4" t="inlineStr">
        <is>
          <t>§12A</t>
        </is>
      </c>
      <c r="I37" s="5" t="inlineStr"/>
    </row>
    <row r="38">
      <c r="A38" s="4" t="inlineStr">
        <is>
          <t>T34</t>
        </is>
      </c>
      <c r="B38" s="4" t="inlineStr">
        <is>
          <t>M5</t>
        </is>
      </c>
      <c r="C38" s="4" t="inlineStr">
        <is>
          <t>Integration</t>
        </is>
      </c>
      <c r="D38" s="4" t="inlineStr">
        <is>
          <t>web/corti-stream.ts: stream.connect facts mode, live transcript, end/ENDED, mic release; fallback 'Use recorded clip'</t>
        </is>
      </c>
      <c r="E38" s="5" t="inlineStr">
        <is>
          <t>Omar</t>
        </is>
      </c>
      <c r="F38" s="5" t="inlineStr">
        <is>
          <t>Not started</t>
        </is>
      </c>
      <c r="G38" s="4" t="inlineStr">
        <is>
          <t>00:30</t>
        </is>
      </c>
      <c r="H38" s="4" t="inlineStr">
        <is>
          <t>§12A</t>
        </is>
      </c>
      <c r="I38" s="5" t="inlineStr"/>
    </row>
    <row r="39">
      <c r="A39" s="4" t="inlineStr">
        <is>
          <t>T35</t>
        </is>
      </c>
      <c r="B39" s="4" t="inlineStr">
        <is>
          <t>M5</t>
        </is>
      </c>
      <c r="C39" s="4" t="inlineStr">
        <is>
          <t>Backend</t>
        </is>
      </c>
      <c r="D39" s="4" t="inlineStr">
        <is>
          <t>Escalation sweep on clock advance; escalated → verified when task done</t>
        </is>
      </c>
      <c r="E39" s="5" t="inlineStr">
        <is>
          <t>Hassan</t>
        </is>
      </c>
      <c r="F39" s="5" t="inlineStr">
        <is>
          <t>Not started</t>
        </is>
      </c>
      <c r="G39" s="4" t="inlineStr">
        <is>
          <t>00:00</t>
        </is>
      </c>
      <c r="H39" s="4" t="inlineStr">
        <is>
          <t>§10 §16</t>
        </is>
      </c>
      <c r="I39" s="5" t="inlineStr"/>
    </row>
    <row r="40">
      <c r="A40" s="4" t="inlineStr">
        <is>
          <t>T36</t>
        </is>
      </c>
      <c r="B40" s="4" t="inlineStr">
        <is>
          <t>M5</t>
        </is>
      </c>
      <c r="C40" s="4" t="inlineStr">
        <is>
          <t>Backend</t>
        </is>
      </c>
      <c r="D40" s="4" t="inlineStr">
        <is>
          <t>eval/run.ts: 6 cases → accuracy, human corrections, time saved vs manual-baseline.json → metrics.json + GET /eval</t>
        </is>
      </c>
      <c r="E40" s="5" t="inlineStr">
        <is>
          <t>Hassan</t>
        </is>
      </c>
      <c r="F40" s="5" t="inlineStr">
        <is>
          <t>Not started</t>
        </is>
      </c>
      <c r="G40" s="4" t="inlineStr">
        <is>
          <t>00:45</t>
        </is>
      </c>
      <c r="H40" s="4" t="inlineStr">
        <is>
          <t>§1.7 §2</t>
        </is>
      </c>
      <c r="I40" s="5" t="inlineStr"/>
    </row>
    <row r="41">
      <c r="A41" s="4" t="inlineStr">
        <is>
          <t>T37</t>
        </is>
      </c>
      <c r="B41" s="4" t="inlineStr">
        <is>
          <t>M5</t>
        </is>
      </c>
      <c r="C41" s="4" t="inlineStr">
        <is>
          <t>Integration</t>
        </is>
      </c>
      <c r="D41" s="4" t="inlineStr">
        <is>
          <t>Full demo path steps 1–7 passes in browser (run 3× clean)</t>
        </is>
      </c>
      <c r="E41" s="5" t="inlineStr">
        <is>
          <t>Omar</t>
        </is>
      </c>
      <c r="F41" s="5" t="inlineStr">
        <is>
          <t>Not started</t>
        </is>
      </c>
      <c r="G41" s="4" t="inlineStr">
        <is>
          <t>01:00</t>
        </is>
      </c>
      <c r="H41" s="4" t="inlineStr">
        <is>
          <t>§3</t>
        </is>
      </c>
      <c r="I41" s="5" t="inlineStr"/>
    </row>
    <row r="42">
      <c r="A42" s="4" t="inlineStr">
        <is>
          <t>T38</t>
        </is>
      </c>
      <c r="B42" s="4" t="inlineStr">
        <is>
          <t>M6</t>
        </is>
      </c>
      <c r="C42" s="4" t="inlineStr">
        <is>
          <t>QA</t>
        </is>
      </c>
      <c r="D42" s="4" t="inlineStr">
        <is>
          <t>Bug-fix pass only; offline rehearsal with CACHE_MODE=readonly</t>
        </is>
      </c>
      <c r="E42" s="5" t="inlineStr">
        <is>
          <t>All</t>
        </is>
      </c>
      <c r="F42" s="5" t="inlineStr">
        <is>
          <t>Not started</t>
        </is>
      </c>
      <c r="G42" s="4" t="inlineStr">
        <is>
          <t>04:00</t>
        </is>
      </c>
      <c r="H42" s="4" t="inlineStr">
        <is>
          <t>§0.8</t>
        </is>
      </c>
      <c r="I42" s="5" t="inlineStr"/>
    </row>
    <row r="43">
      <c r="A43" s="4" t="inlineStr">
        <is>
          <t>T39</t>
        </is>
      </c>
      <c r="B43" s="4" t="inlineStr">
        <is>
          <t>M6</t>
        </is>
      </c>
      <c r="C43" s="4" t="inlineStr">
        <is>
          <t>Docs</t>
        </is>
      </c>
      <c r="D43" s="4" t="inlineStr">
        <is>
          <t>README (before/after workflow map, decision owners, metrics) + DISCLOSURE.md</t>
        </is>
      </c>
      <c r="E43" s="5" t="inlineStr">
        <is>
          <t>Omar</t>
        </is>
      </c>
      <c r="F43" s="5" t="inlineStr">
        <is>
          <t>Not started</t>
        </is>
      </c>
      <c r="G43" s="4" t="inlineStr">
        <is>
          <t>05:00</t>
        </is>
      </c>
      <c r="H43" s="4" t="inlineStr">
        <is>
          <t>§2</t>
        </is>
      </c>
      <c r="I43" s="5" t="inlineStr"/>
    </row>
    <row r="44">
      <c r="A44" s="4" t="inlineStr">
        <is>
          <t>T40</t>
        </is>
      </c>
      <c r="B44" s="4" t="inlineStr">
        <is>
          <t>M6</t>
        </is>
      </c>
      <c r="C44" s="4" t="inlineStr">
        <is>
          <t>Demo</t>
        </is>
      </c>
      <c r="D44" s="4" t="inlineStr">
        <is>
          <t>Record 2-min demo video (no creds on screen)</t>
        </is>
      </c>
      <c r="E44" s="5" t="inlineStr">
        <is>
          <t>All</t>
        </is>
      </c>
      <c r="F44" s="5" t="inlineStr">
        <is>
          <t>Not started</t>
        </is>
      </c>
      <c r="G44" s="4" t="inlineStr">
        <is>
          <t>07:00</t>
        </is>
      </c>
      <c r="H44" s="4" t="inlineStr">
        <is>
          <t>§0 §5</t>
        </is>
      </c>
      <c r="I44" s="5" t="inlineStr"/>
    </row>
    <row r="45">
      <c r="A45" s="4" t="inlineStr">
        <is>
          <t>T41</t>
        </is>
      </c>
      <c r="B45" s="4" t="inlineStr">
        <is>
          <t>M6</t>
        </is>
      </c>
      <c r="C45" s="4" t="inlineStr">
        <is>
          <t>Submission</t>
        </is>
      </c>
      <c r="D45" s="4" t="inlineStr">
        <is>
          <t>ZIP git repo (exclude .env, data/, .cache/, node_modules) + submit Google Form</t>
        </is>
      </c>
      <c r="E45" s="5" t="inlineStr">
        <is>
          <t>Omar</t>
        </is>
      </c>
      <c r="F45" s="5" t="inlineStr">
        <is>
          <t>Not started</t>
        </is>
      </c>
      <c r="G45" s="4" t="inlineStr">
        <is>
          <t>08:00</t>
        </is>
      </c>
      <c r="H45" s="4" t="inlineStr">
        <is>
          <t>§0</t>
        </is>
      </c>
      <c r="I45" s="5" t="inlineStr"/>
    </row>
  </sheetData>
  <autoFilter ref="A4:I45"/>
  <conditionalFormatting sqref="A5:I75">
    <cfRule type="expression" priority="1" dxfId="0">
      <formula>$F5="Completed"</formula>
    </cfRule>
    <cfRule type="expression" priority="2" dxfId="1">
      <formula>$F5="Blocked"</formula>
    </cfRule>
    <cfRule type="expression" priority="3" dxfId="2">
      <formula>$F5="In progress"</formula>
    </cfRule>
  </conditionalFormatting>
  <dataValidations count="2">
    <dataValidation sqref="F5:F75" showDropDown="0" showInputMessage="0" showErrorMessage="0" allowBlank="0" type="list">
      <formula1>"Not started,In progress,Blocked,Completed"</formula1>
    </dataValidation>
    <dataValidation sqref="E5:E75" showDropDown="0" showInputMessage="0" showErrorMessage="0" allowBlank="1" type="list">
      <formula1>"Omar,Hassan,Saad,Omar + Hassan,All"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7" customWidth="1" min="3" max="3"/>
    <col width="60" customWidth="1" min="4" max="4"/>
    <col width="8" customWidth="1" min="5" max="5"/>
    <col width="11" customWidth="1" min="6" max="6"/>
    <col width="11" customWidth="1" min="7" max="7"/>
    <col width="9" customWidth="1" min="8" max="8"/>
    <col width="9" customWidth="1" min="9" max="9"/>
    <col width="14" customWidth="1" min="10" max="10"/>
  </cols>
  <sheetData>
    <row r="1">
      <c r="A1" s="1" t="inlineStr">
        <is>
          <t>Milestones</t>
        </is>
      </c>
    </row>
    <row r="2">
      <c r="A2" s="2" t="inlineStr">
        <is>
          <t>Progress columns are formulas driven by the Tasks sheet — do not edit them.</t>
        </is>
      </c>
    </row>
    <row r="4">
      <c r="A4" s="3" t="inlineStr">
        <is>
          <t>ID</t>
        </is>
      </c>
      <c r="B4" s="3" t="inlineStr">
        <is>
          <t>Milestone</t>
        </is>
      </c>
      <c r="C4" s="3" t="inlineStr">
        <is>
          <t>Deadline (CEST)</t>
        </is>
      </c>
      <c r="D4" s="3" t="inlineStr">
        <is>
          <t>Done when…</t>
        </is>
      </c>
      <c r="E4" s="3" t="inlineStr">
        <is>
          <t>Tasks</t>
        </is>
      </c>
      <c r="F4" s="3" t="inlineStr">
        <is>
          <t>Completed</t>
        </is>
      </c>
      <c r="G4" s="3" t="inlineStr">
        <is>
          <t>In progress</t>
        </is>
      </c>
      <c r="H4" s="3" t="inlineStr">
        <is>
          <t>Blocked</t>
        </is>
      </c>
      <c r="I4" s="3" t="inlineStr">
        <is>
          <t>% done</t>
        </is>
      </c>
      <c r="J4" s="3" t="inlineStr">
        <is>
          <t>Status</t>
        </is>
      </c>
    </row>
    <row r="5">
      <c r="A5" s="4" t="inlineStr">
        <is>
          <t>M0</t>
        </is>
      </c>
      <c r="B5" s="4" t="inlineStr">
        <is>
          <t>Repo + skeleton running</t>
        </is>
      </c>
      <c r="C5" s="4" t="inlineStr">
        <is>
          <t>Sat 26 Sep 14:30</t>
        </is>
      </c>
      <c r="D5" s="4" t="inlineStr">
        <is>
          <t>npm run dev boots server :8787 + web; .env.example; .gitignore</t>
        </is>
      </c>
      <c r="E5" s="4">
        <f>COUNTIF(Tasks!$B$5:$B$75,A5)</f>
        <v/>
      </c>
      <c r="F5" s="4">
        <f>COUNTIFS(Tasks!$B$5:$B$75,A5,Tasks!$F$5:$F$75,"Completed")</f>
        <v/>
      </c>
      <c r="G5" s="4">
        <f>COUNTIFS(Tasks!$B$5:$B$75,A5,Tasks!$F$5:$F$75,"In progress")</f>
        <v/>
      </c>
      <c r="H5" s="4">
        <f>COUNTIFS(Tasks!$B$5:$B$75,A5,Tasks!$F$5:$F$75,"Blocked")</f>
        <v/>
      </c>
      <c r="I5" s="6">
        <f>IF(E5=0,0,F5/E5)</f>
        <v/>
      </c>
      <c r="J5" s="4">
        <f>IF(E5=0,"-",IF(F5=E5,"Completed",IF(H5&gt;0,"Blocked",IF(F5+G5&gt;0,"In progress","Not started"))))</f>
        <v/>
      </c>
    </row>
    <row r="6">
      <c r="A6" s="4" t="inlineStr">
        <is>
          <t>M1</t>
        </is>
      </c>
      <c r="B6" s="4" t="inlineStr">
        <is>
          <t>Backend core (no AI)</t>
        </is>
      </c>
      <c r="C6" s="4" t="inlineStr">
        <is>
          <t>Sat 26 Sep 18:00</t>
        </is>
      </c>
      <c r="D6" s="4" t="inlineStr">
        <is>
          <t>DB, clock, state machine, SIMULATED task system, approve→task→readback via API, tests green</t>
        </is>
      </c>
      <c r="E6" s="4">
        <f>COUNTIF(Tasks!$B$5:$B$75,A6)</f>
        <v/>
      </c>
      <c r="F6" s="4">
        <f>COUNTIFS(Tasks!$B$5:$B$75,A6,Tasks!$F$5:$F$75,"Completed")</f>
        <v/>
      </c>
      <c r="G6" s="4">
        <f>COUNTIFS(Tasks!$B$5:$B$75,A6,Tasks!$F$5:$F$75,"In progress")</f>
        <v/>
      </c>
      <c r="H6" s="4">
        <f>COUNTIFS(Tasks!$B$5:$B$75,A6,Tasks!$F$5:$F$75,"Blocked")</f>
        <v/>
      </c>
      <c r="I6" s="6">
        <f>IF(E6=0,0,F6/E6)</f>
        <v/>
      </c>
      <c r="J6" s="4">
        <f>IF(E6=0,"-",IF(F6=E6,"Completed",IF(H6&gt;0,"Blocked",IF(F6+G6&gt;0,"In progress","Not started"))))</f>
        <v/>
      </c>
    </row>
    <row r="7">
      <c r="A7" s="4" t="inlineStr">
        <is>
          <t>M2</t>
        </is>
      </c>
      <c r="B7" s="4" t="inlineStr">
        <is>
          <t>Corti + pipeline (text path)</t>
        </is>
      </c>
      <c r="C7" s="4" t="inlineStr">
        <is>
          <t>Sat 26 Sep 21:00</t>
        </is>
      </c>
      <c r="D7" s="4" t="inlineStr">
        <is>
          <t>Text/pre-recorded input → extract → ground → dedup → proposed threads; cache + fake mode</t>
        </is>
      </c>
      <c r="E7" s="4">
        <f>COUNTIF(Tasks!$B$5:$B$75,A7)</f>
        <v/>
      </c>
      <c r="F7" s="4">
        <f>COUNTIFS(Tasks!$B$5:$B$75,A7,Tasks!$F$5:$F$75,"Completed")</f>
        <v/>
      </c>
      <c r="G7" s="4">
        <f>COUNTIFS(Tasks!$B$5:$B$75,A7,Tasks!$F$5:$F$75,"In progress")</f>
        <v/>
      </c>
      <c r="H7" s="4">
        <f>COUNTIFS(Tasks!$B$5:$B$75,A7,Tasks!$F$5:$F$75,"Blocked")</f>
        <v/>
      </c>
      <c r="I7" s="6">
        <f>IF(E7=0,0,F7/E7)</f>
        <v/>
      </c>
      <c r="J7" s="4">
        <f>IF(E7=0,"-",IF(F7=E7,"Completed",IF(H7&gt;0,"Blocked",IF(F7+G7&gt;0,"In progress","Not started"))))</f>
        <v/>
      </c>
    </row>
    <row r="8">
      <c r="A8" s="4" t="inlineStr">
        <is>
          <t>M3</t>
        </is>
      </c>
      <c r="B8" s="4" t="inlineStr">
        <is>
          <t>Frontend screens (Lovable)</t>
        </is>
      </c>
      <c r="C8" s="4" t="inlineStr">
        <is>
          <t>Sat 26 Sep 21:00</t>
        </is>
      </c>
      <c r="D8" s="4" t="inlineStr">
        <is>
          <t>Session, Ward Board, Tasks, Eval pages built on mock data matching API shapes</t>
        </is>
      </c>
      <c r="E8" s="4">
        <f>COUNTIF(Tasks!$B$5:$B$75,A8)</f>
        <v/>
      </c>
      <c r="F8" s="4">
        <f>COUNTIFS(Tasks!$B$5:$B$75,A8,Tasks!$F$5:$F$75,"Completed")</f>
        <v/>
      </c>
      <c r="G8" s="4">
        <f>COUNTIFS(Tasks!$B$5:$B$75,A8,Tasks!$F$5:$F$75,"In progress")</f>
        <v/>
      </c>
      <c r="H8" s="4">
        <f>COUNTIFS(Tasks!$B$5:$B$75,A8,Tasks!$F$5:$F$75,"Blocked")</f>
        <v/>
      </c>
      <c r="I8" s="6">
        <f>IF(E8=0,0,F8/E8)</f>
        <v/>
      </c>
      <c r="J8" s="4">
        <f>IF(E8=0,"-",IF(F8=E8,"Completed",IF(H8&gt;0,"Blocked",IF(F8+G8&gt;0,"In progress","Not started"))))</f>
        <v/>
      </c>
    </row>
    <row r="9">
      <c r="A9" s="4" t="inlineStr">
        <is>
          <t>M4</t>
        </is>
      </c>
      <c r="B9" s="7" t="inlineStr">
        <is>
          <t>MAGIC MOMENT end-to-end</t>
        </is>
      </c>
      <c r="C9" s="4" t="inlineStr">
        <is>
          <t>Sat 26 Sep 23:30</t>
        </is>
      </c>
      <c r="D9" s="4" t="inlineStr">
        <is>
          <t>Demo step 3 works in browser, live AND cached/offline</t>
        </is>
      </c>
      <c r="E9" s="4">
        <f>COUNTIF(Tasks!$B$5:$B$75,A9)</f>
        <v/>
      </c>
      <c r="F9" s="4">
        <f>COUNTIFS(Tasks!$B$5:$B$75,A9,Tasks!$F$5:$F$75,"Completed")</f>
        <v/>
      </c>
      <c r="G9" s="4">
        <f>COUNTIFS(Tasks!$B$5:$B$75,A9,Tasks!$F$5:$F$75,"In progress")</f>
        <v/>
      </c>
      <c r="H9" s="4">
        <f>COUNTIFS(Tasks!$B$5:$B$75,A9,Tasks!$F$5:$F$75,"Blocked")</f>
        <v/>
      </c>
      <c r="I9" s="6">
        <f>IF(E9=0,0,F9/E9)</f>
        <v/>
      </c>
      <c r="J9" s="4">
        <f>IF(E9=0,"-",IF(F9=E9,"Completed",IF(H9&gt;0,"Blocked",IF(F9+G9&gt;0,"In progress","Not started"))))</f>
        <v/>
      </c>
    </row>
    <row r="10">
      <c r="A10" s="4" t="inlineStr">
        <is>
          <t>M5</t>
        </is>
      </c>
      <c r="B10" s="7" t="inlineStr">
        <is>
          <t>Full demo path + eval — FEATURE FREEZE</t>
        </is>
      </c>
      <c r="C10" s="4" t="inlineStr">
        <is>
          <t>Sun 27 Sep 01:00</t>
        </is>
      </c>
      <c r="D10" s="4" t="inlineStr">
        <is>
          <t>Ambient live, edit/dismiss, clock+escalation, Eval page with 6 cases</t>
        </is>
      </c>
      <c r="E10" s="4">
        <f>COUNTIF(Tasks!$B$5:$B$75,A10)</f>
        <v/>
      </c>
      <c r="F10" s="4">
        <f>COUNTIFS(Tasks!$B$5:$B$75,A10,Tasks!$F$5:$F$75,"Completed")</f>
        <v/>
      </c>
      <c r="G10" s="4">
        <f>COUNTIFS(Tasks!$B$5:$B$75,A10,Tasks!$F$5:$F$75,"In progress")</f>
        <v/>
      </c>
      <c r="H10" s="4">
        <f>COUNTIFS(Tasks!$B$5:$B$75,A10,Tasks!$F$5:$F$75,"Blocked")</f>
        <v/>
      </c>
      <c r="I10" s="6">
        <f>IF(E10=0,0,F10/E10)</f>
        <v/>
      </c>
      <c r="J10" s="4">
        <f>IF(E10=0,"-",IF(F10=E10,"Completed",IF(H10&gt;0,"Blocked",IF(F10+G10&gt;0,"In progress","Not started"))))</f>
        <v/>
      </c>
    </row>
    <row r="11">
      <c r="A11" s="4" t="inlineStr">
        <is>
          <t>M6</t>
        </is>
      </c>
      <c r="B11" s="4" t="inlineStr">
        <is>
          <t>Hardening + submission</t>
        </is>
      </c>
      <c r="C11" s="4" t="inlineStr">
        <is>
          <t>Sun 27 Sep 08:00</t>
        </is>
      </c>
      <c r="D11" s="4" t="inlineStr">
        <is>
          <t>Bug fixes only, README/DISCLOSURE, 2-min video, ZIP, Google Form submitted</t>
        </is>
      </c>
      <c r="E11" s="4">
        <f>COUNTIF(Tasks!$B$5:$B$75,A11)</f>
        <v/>
      </c>
      <c r="F11" s="4">
        <f>COUNTIFS(Tasks!$B$5:$B$75,A11,Tasks!$F$5:$F$75,"Completed")</f>
        <v/>
      </c>
      <c r="G11" s="4">
        <f>COUNTIFS(Tasks!$B$5:$B$75,A11,Tasks!$F$5:$F$75,"In progress")</f>
        <v/>
      </c>
      <c r="H11" s="4">
        <f>COUNTIFS(Tasks!$B$5:$B$75,A11,Tasks!$F$5:$F$75,"Blocked")</f>
        <v/>
      </c>
      <c r="I11" s="6">
        <f>IF(E11=0,0,F11/E11)</f>
        <v/>
      </c>
      <c r="J11" s="4">
        <f>IF(E11=0,"-",IF(F11=E11,"Completed",IF(H11&gt;0,"Blocked",IF(F11+G11&gt;0,"In progress","Not started"))))</f>
        <v/>
      </c>
    </row>
    <row r="13">
      <c r="A13" s="8" t="inlineStr">
        <is>
          <t>Hard rule: after 01:00 Sunday (M5) → bug fixes only, no new features, no refactors (Brief §0.8).</t>
        </is>
      </c>
    </row>
  </sheetData>
  <conditionalFormatting sqref="J5:J11">
    <cfRule type="expression" priority="1" dxfId="3">
      <formula>$J5="Completed"</formula>
    </cfRule>
    <cfRule type="expression" priority="2" dxfId="4">
      <formula>$J5="Blocked"</formula>
    </cfRule>
    <cfRule type="expression" priority="3" dxfId="2">
      <formula>$J5="In progress"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8" customWidth="1" min="3" max="3"/>
    <col width="11" customWidth="1" min="4" max="4"/>
    <col width="11" customWidth="1" min="5" max="5"/>
    <col width="9" customWidth="1" min="6" max="6"/>
    <col width="11" customWidth="1" min="7" max="7"/>
    <col width="9" customWidth="1" min="8" max="8"/>
  </cols>
  <sheetData>
    <row r="1">
      <c r="A1" s="1" t="inlineStr">
        <is>
          <t>Who is doing what</t>
        </is>
      </c>
    </row>
    <row r="3">
      <c r="A3" s="9" t="inlineStr">
        <is>
          <t>Owner</t>
        </is>
      </c>
      <c r="B3" s="9" t="inlineStr">
        <is>
          <t>Role</t>
        </is>
      </c>
      <c r="C3" s="9" t="inlineStr">
        <is>
          <t>Tasks</t>
        </is>
      </c>
      <c r="D3" s="9" t="inlineStr">
        <is>
          <t>Completed</t>
        </is>
      </c>
      <c r="E3" s="9" t="inlineStr">
        <is>
          <t>In progress</t>
        </is>
      </c>
      <c r="F3" s="9" t="inlineStr">
        <is>
          <t>Blocked</t>
        </is>
      </c>
      <c r="G3" s="9" t="inlineStr">
        <is>
          <t>Not started</t>
        </is>
      </c>
      <c r="H3" s="9" t="inlineStr">
        <is>
          <t>% done</t>
        </is>
      </c>
    </row>
    <row r="4">
      <c r="A4" s="4" t="inlineStr">
        <is>
          <t>Omar</t>
        </is>
      </c>
      <c r="B4" s="4" t="inlineStr">
        <is>
          <t>Backend (state machine, pipeline) → then owns front↔back integration &amp; demo path</t>
        </is>
      </c>
      <c r="C4" s="4">
        <f>COUNTIF(Tasks!$E$5:$E$75,A4)</f>
        <v/>
      </c>
      <c r="D4" s="4">
        <f>COUNTIFS(Tasks!$E$5:$E$75,A4,Tasks!$F$5:$F$75,"Completed")</f>
        <v/>
      </c>
      <c r="E4" s="4">
        <f>COUNTIFS(Tasks!$E$5:$E$75,A4,Tasks!$F$5:$F$75,"In progress")</f>
        <v/>
      </c>
      <c r="F4" s="4">
        <f>COUNTIFS(Tasks!$E$5:$E$75,A4,Tasks!$F$5:$F$75,"Blocked")</f>
        <v/>
      </c>
      <c r="G4" s="4">
        <f>COUNTIFS(Tasks!$E$5:$E$75,A4,Tasks!$F$5:$F$75,"Not started")</f>
        <v/>
      </c>
      <c r="H4" s="6">
        <f>IF(C4=0,0,D4/C4)</f>
        <v/>
      </c>
    </row>
    <row r="5">
      <c r="A5" s="4" t="inlineStr">
        <is>
          <t>Hassan</t>
        </is>
      </c>
      <c r="B5" s="4" t="inlineStr">
        <is>
          <t>Backend (DB, clock, task system, Corti gateway, eval)</t>
        </is>
      </c>
      <c r="C5" s="4">
        <f>COUNTIF(Tasks!$E$5:$E$75,A5)</f>
        <v/>
      </c>
      <c r="D5" s="4">
        <f>COUNTIFS(Tasks!$E$5:$E$75,A5,Tasks!$F$5:$F$75,"Completed")</f>
        <v/>
      </c>
      <c r="E5" s="4">
        <f>COUNTIFS(Tasks!$E$5:$E$75,A5,Tasks!$F$5:$F$75,"In progress")</f>
        <v/>
      </c>
      <c r="F5" s="4">
        <f>COUNTIFS(Tasks!$E$5:$E$75,A5,Tasks!$F$5:$F$75,"Blocked")</f>
        <v/>
      </c>
      <c r="G5" s="4">
        <f>COUNTIFS(Tasks!$E$5:$E$75,A5,Tasks!$F$5:$F$75,"Not started")</f>
        <v/>
      </c>
      <c r="H5" s="6">
        <f>IF(C5=0,0,D5/C5)</f>
        <v/>
      </c>
    </row>
    <row r="6">
      <c r="A6" s="4" t="inlineStr">
        <is>
          <t>Saad</t>
        </is>
      </c>
      <c r="B6" s="4" t="inlineStr">
        <is>
          <t>Frontend in Lovable (all 4 pages, components)</t>
        </is>
      </c>
      <c r="C6" s="4">
        <f>COUNTIF(Tasks!$E$5:$E$75,A6)</f>
        <v/>
      </c>
      <c r="D6" s="4">
        <f>COUNTIFS(Tasks!$E$5:$E$75,A6,Tasks!$F$5:$F$75,"Completed")</f>
        <v/>
      </c>
      <c r="E6" s="4">
        <f>COUNTIFS(Tasks!$E$5:$E$75,A6,Tasks!$F$5:$F$75,"In progress")</f>
        <v/>
      </c>
      <c r="F6" s="4">
        <f>COUNTIFS(Tasks!$E$5:$E$75,A6,Tasks!$F$5:$F$75,"Blocked")</f>
        <v/>
      </c>
      <c r="G6" s="4">
        <f>COUNTIFS(Tasks!$E$5:$E$75,A6,Tasks!$F$5:$F$75,"Not started")</f>
        <v/>
      </c>
      <c r="H6" s="6">
        <f>IF(C6=0,0,D6/C6)</f>
        <v/>
      </c>
    </row>
    <row r="7">
      <c r="A7" s="4" t="inlineStr">
        <is>
          <t>Omar + Hassan</t>
        </is>
      </c>
      <c r="B7" s="4" t="inlineStr">
        <is>
          <t>Shared backend content (case scripts, gold labels)</t>
        </is>
      </c>
      <c r="C7" s="4">
        <f>COUNTIF(Tasks!$E$5:$E$75,A7)</f>
        <v/>
      </c>
      <c r="D7" s="4">
        <f>COUNTIFS(Tasks!$E$5:$E$75,A7,Tasks!$F$5:$F$75,"Completed")</f>
        <v/>
      </c>
      <c r="E7" s="4">
        <f>COUNTIFS(Tasks!$E$5:$E$75,A7,Tasks!$F$5:$F$75,"In progress")</f>
        <v/>
      </c>
      <c r="F7" s="4">
        <f>COUNTIFS(Tasks!$E$5:$E$75,A7,Tasks!$F$5:$F$75,"Blocked")</f>
        <v/>
      </c>
      <c r="G7" s="4">
        <f>COUNTIFS(Tasks!$E$5:$E$75,A7,Tasks!$F$5:$F$75,"Not started")</f>
        <v/>
      </c>
      <c r="H7" s="6">
        <f>IF(C7=0,0,D7/C7)</f>
        <v/>
      </c>
    </row>
    <row r="8">
      <c r="A8" s="4" t="inlineStr">
        <is>
          <t>All</t>
        </is>
      </c>
      <c r="B8" s="4" t="inlineStr">
        <is>
          <t>Final QA, video</t>
        </is>
      </c>
      <c r="C8" s="4">
        <f>COUNTIF(Tasks!$E$5:$E$75,A8)</f>
        <v/>
      </c>
      <c r="D8" s="4">
        <f>COUNTIFS(Tasks!$E$5:$E$75,A8,Tasks!$F$5:$F$75,"Completed")</f>
        <v/>
      </c>
      <c r="E8" s="4">
        <f>COUNTIFS(Tasks!$E$5:$E$75,A8,Tasks!$F$5:$F$75,"In progress")</f>
        <v/>
      </c>
      <c r="F8" s="4">
        <f>COUNTIFS(Tasks!$E$5:$E$75,A8,Tasks!$F$5:$F$75,"Blocked")</f>
        <v/>
      </c>
      <c r="G8" s="4">
        <f>COUNTIFS(Tasks!$E$5:$E$75,A8,Tasks!$F$5:$F$75,"Not started")</f>
        <v/>
      </c>
      <c r="H8" s="6">
        <f>IF(C8=0,0,D8/C8)</f>
        <v/>
      </c>
    </row>
    <row r="9">
      <c r="A9" s="10" t="inlineStr">
        <is>
          <t>TOTAL</t>
        </is>
      </c>
      <c r="C9" s="11">
        <f>SUM(C4:C8)</f>
        <v/>
      </c>
      <c r="D9" s="11">
        <f>SUM(D4:D8)</f>
        <v/>
      </c>
      <c r="E9" s="11">
        <f>SUM(E4:E8)</f>
        <v/>
      </c>
      <c r="F9" s="11">
        <f>SUM(F4:F8)</f>
        <v/>
      </c>
      <c r="G9" s="11">
        <f>SUM(G4:G8)</f>
        <v/>
      </c>
      <c r="H9" s="12">
        <f>IF(C9=0,0,D9/C9)</f>
        <v/>
      </c>
    </row>
    <row r="11">
      <c r="A11" s="10" t="inlineStr">
        <is>
          <t>Assumptions (correct if wrong):</t>
        </is>
      </c>
    </row>
    <row r="12">
      <c r="A12" s="13" t="inlineStr">
        <is>
          <t>• 'Me' in the brief = Omar (the one who later connects back and front).</t>
        </is>
      </c>
    </row>
    <row r="13">
      <c r="A13" s="13" t="inlineStr">
        <is>
          <t>• Lovable exports React+Vite+TS+Tailwind; its Supabase backend must NOT be used — web/ talks only to our Express server via fetch (Brief §4).</t>
        </is>
      </c>
    </row>
    <row r="14">
      <c r="A14" s="13" t="inlineStr">
        <is>
          <t>• Saad builds on mock JSON matching the agreed API shapes (task T04) so integration at M4 is a swap, not a rewrite.</t>
        </is>
      </c>
    </row>
    <row r="15">
      <c r="A15" s="13" t="inlineStr">
        <is>
          <t>• Target times are proposals; brief §19 (UI) was cut off in what I received, so UI tasks follow §3 demo + §6 components.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2026-09-26T14:02:21Z</dcterms:created>
  <dcterms:modified xsi:type="dcterms:W3CDTF">2026-09-26T14:02:21Z</dcterms:modified>
</cp:coreProperties>
</file>